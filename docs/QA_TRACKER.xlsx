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  <sheet name="How to use" sheetId="3" state="visible" r:id="rId3"/>
  </sheets>
  <definedNames>
    <definedName name="_xlnm._FilterDatabase" localSheetId="0" hidden="1">'Test Cases'!$A$1:$L$84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0A0C11"/>
      </patternFill>
    </fill>
    <fill>
      <patternFill patternType="solid">
        <fgColor rgb="00FFFFCC"/>
      </patternFill>
    </fill>
    <fill>
      <patternFill patternType="solid">
        <fgColor rgb="00E6F7F3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2" fillId="0" borderId="0" pivotButton="0" quotePrefix="0" xfId="0"/>
    <xf numFmtId="0" fontId="5" fillId="3" borderId="1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4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9" customWidth="1" min="3" max="3"/>
    <col width="34" customWidth="1" min="4" max="4"/>
    <col width="46" customWidth="1" min="5" max="5"/>
    <col width="46" customWidth="1" min="6" max="6"/>
    <col width="36" customWidth="1" min="7" max="7"/>
    <col width="14" customWidth="1" min="8" max="8"/>
    <col width="11" customWidth="1" min="9" max="9"/>
    <col width="12" customWidth="1" min="10" max="10"/>
    <col width="14" customWidth="1" min="11" max="11"/>
    <col width="30" customWidth="1" min="12" max="12"/>
  </cols>
  <sheetData>
    <row r="1" ht="30" customHeight="1">
      <c r="A1" s="1" t="inlineStr">
        <is>
          <t>Section</t>
        </is>
      </c>
      <c r="B1" s="1" t="inlineStr">
        <is>
          <t>ID</t>
        </is>
      </c>
      <c r="C1" s="1" t="inlineStr">
        <is>
          <t>Priority</t>
        </is>
      </c>
      <c r="D1" s="1" t="inlineStr">
        <is>
          <t>Scenario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Coverage</t>
        </is>
      </c>
      <c r="H1" s="1" t="inlineStr">
        <is>
          <t>Run manually?</t>
        </is>
      </c>
      <c r="I1" s="1" t="inlineStr">
        <is>
          <t>Result</t>
        </is>
      </c>
      <c r="J1" s="1" t="inlineStr">
        <is>
          <t>Date</t>
        </is>
      </c>
      <c r="K1" s="1" t="inlineStr">
        <is>
          <t>Tester</t>
        </is>
      </c>
      <c r="L1" s="1" t="inlineStr">
        <is>
          <t>Notes / Bug #</t>
        </is>
      </c>
    </row>
    <row r="2">
      <c r="A2" s="2" t="inlineStr">
        <is>
          <t>A. Authentication &amp; Access  (TC-AUTH)</t>
        </is>
      </c>
      <c r="B2" s="3" t="inlineStr">
        <is>
          <t>TC-AUTH-01</t>
        </is>
      </c>
      <c r="C2" s="3" t="inlineStr">
        <is>
          <t>P0</t>
        </is>
      </c>
      <c r="D2" s="2" t="inlineStr">
        <is>
          <t>New company signup</t>
        </is>
      </c>
      <c r="E2" s="2" t="inlineStr">
        <is>
          <t>Go to `/auth/signup`, enter name, company, email, password; submit</t>
        </is>
      </c>
      <c r="F2" s="2" t="inlineStr">
        <is>
          <t>Account + company created; confirmation email sent; lands on dashboard or "confirm email" screen</t>
        </is>
      </c>
      <c r="G2" s="2" t="inlineStr">
        <is>
          <t>Manual</t>
        </is>
      </c>
      <c r="H2" s="3" t="inlineStr">
        <is>
          <t>Yes</t>
        </is>
      </c>
      <c r="I2" s="4" t="inlineStr"/>
      <c r="J2" s="4" t="inlineStr"/>
      <c r="K2" s="4" t="inlineStr"/>
      <c r="L2" s="5" t="inlineStr"/>
    </row>
    <row r="3">
      <c r="A3" s="2" t="inlineStr">
        <is>
          <t>A. Authentication &amp; Access  (TC-AUTH)</t>
        </is>
      </c>
      <c r="B3" s="3" t="inlineStr">
        <is>
          <t>TC-AUTH-02</t>
        </is>
      </c>
      <c r="C3" s="3" t="inlineStr">
        <is>
          <t>P0</t>
        </is>
      </c>
      <c r="D3" s="2" t="inlineStr">
        <is>
          <t>Email confirmation</t>
        </is>
      </c>
      <c r="E3" s="2" t="inlineStr">
        <is>
          <t>Click the link in the confirmation email</t>
        </is>
      </c>
      <c r="F3" s="2" t="inlineStr">
        <is>
          <t>Email verified; can log in</t>
        </is>
      </c>
      <c r="G3" s="2" t="inlineStr">
        <is>
          <t>Manual</t>
        </is>
      </c>
      <c r="H3" s="3" t="inlineStr">
        <is>
          <t>Yes</t>
        </is>
      </c>
      <c r="I3" s="4" t="inlineStr"/>
      <c r="J3" s="4" t="inlineStr"/>
      <c r="K3" s="4" t="inlineStr"/>
      <c r="L3" s="5" t="inlineStr"/>
    </row>
    <row r="4">
      <c r="A4" s="2" t="inlineStr">
        <is>
          <t>A. Authentication &amp; Access  (TC-AUTH)</t>
        </is>
      </c>
      <c r="B4" s="3" t="inlineStr">
        <is>
          <t>TC-AUTH-03</t>
        </is>
      </c>
      <c r="C4" s="3" t="inlineStr">
        <is>
          <t>P0</t>
        </is>
      </c>
      <c r="D4" s="2" t="inlineStr">
        <is>
          <t>Login</t>
        </is>
      </c>
      <c r="E4" s="2" t="inlineStr">
        <is>
          <t>Go to `/auth/login`, enter valid credentials</t>
        </is>
      </c>
      <c r="F4" s="2" t="inlineStr">
        <is>
          <t>Redirected to dashboard</t>
        </is>
      </c>
      <c r="G4" s="6" t="inlineStr">
        <is>
          <t>Automated (CI)</t>
        </is>
      </c>
      <c r="H4" s="7" t="inlineStr">
        <is>
          <t>No</t>
        </is>
      </c>
      <c r="I4" s="4" t="inlineStr"/>
      <c r="J4" s="4" t="inlineStr"/>
      <c r="K4" s="4" t="inlineStr"/>
      <c r="L4" s="5" t="inlineStr"/>
    </row>
    <row r="5">
      <c r="A5" s="2" t="inlineStr">
        <is>
          <t>A. Authentication &amp; Access  (TC-AUTH)</t>
        </is>
      </c>
      <c r="B5" s="3" t="inlineStr">
        <is>
          <t>TC-AUTH-04</t>
        </is>
      </c>
      <c r="C5" s="3" t="inlineStr">
        <is>
          <t>P0</t>
        </is>
      </c>
      <c r="D5" s="2" t="inlineStr">
        <is>
          <t>Login with wrong password</t>
        </is>
      </c>
      <c r="E5" s="2" t="inlineStr">
        <is>
          <t>Enter valid email, wrong password</t>
        </is>
      </c>
      <c r="F5" s="2" t="inlineStr">
        <is>
          <t>Clear error message; not logged in</t>
        </is>
      </c>
      <c r="G5" s="6" t="inlineStr">
        <is>
          <t>Automated (CI)</t>
        </is>
      </c>
      <c r="H5" s="7" t="inlineStr">
        <is>
          <t>No</t>
        </is>
      </c>
      <c r="I5" s="4" t="inlineStr"/>
      <c r="J5" s="4" t="inlineStr"/>
      <c r="K5" s="4" t="inlineStr"/>
      <c r="L5" s="5" t="inlineStr"/>
    </row>
    <row r="6">
      <c r="A6" s="2" t="inlineStr">
        <is>
          <t>A. Authentication &amp; Access  (TC-AUTH)</t>
        </is>
      </c>
      <c r="B6" s="3" t="inlineStr">
        <is>
          <t>TC-AUTH-05</t>
        </is>
      </c>
      <c r="C6" s="3" t="inlineStr">
        <is>
          <t>P1</t>
        </is>
      </c>
      <c r="D6" s="2" t="inlineStr">
        <is>
          <t>Forgot password</t>
        </is>
      </c>
      <c r="E6" s="2" t="inlineStr">
        <is>
          <t>`/auth/forgot-password` → enter email → open reset link → set new password</t>
        </is>
      </c>
      <c r="F6" s="2" t="inlineStr">
        <is>
          <t>Can log in with new password</t>
        </is>
      </c>
      <c r="G6" s="2" t="inlineStr">
        <is>
          <t>Manual</t>
        </is>
      </c>
      <c r="H6" s="3" t="inlineStr">
        <is>
          <t>Yes</t>
        </is>
      </c>
      <c r="I6" s="4" t="inlineStr"/>
      <c r="J6" s="4" t="inlineStr"/>
      <c r="K6" s="4" t="inlineStr"/>
      <c r="L6" s="5" t="inlineStr"/>
    </row>
    <row r="7">
      <c r="A7" s="2" t="inlineStr">
        <is>
          <t>A. Authentication &amp; Access  (TC-AUTH)</t>
        </is>
      </c>
      <c r="B7" s="3" t="inlineStr">
        <is>
          <t>TC-AUTH-06</t>
        </is>
      </c>
      <c r="C7" s="3" t="inlineStr">
        <is>
          <t>P1</t>
        </is>
      </c>
      <c r="D7" s="2" t="inlineStr">
        <is>
          <t>Logout</t>
        </is>
      </c>
      <c r="E7" s="2" t="inlineStr">
        <is>
          <t>Click logout</t>
        </is>
      </c>
      <c r="F7" s="2" t="inlineStr">
        <is>
          <t>Session ends; protected pages redirect to login</t>
        </is>
      </c>
      <c r="G7" s="2" t="inlineStr">
        <is>
          <t>Manual</t>
        </is>
      </c>
      <c r="H7" s="3" t="inlineStr">
        <is>
          <t>Yes</t>
        </is>
      </c>
      <c r="I7" s="4" t="inlineStr"/>
      <c r="J7" s="4" t="inlineStr"/>
      <c r="K7" s="4" t="inlineStr"/>
      <c r="L7" s="5" t="inlineStr"/>
    </row>
    <row r="8">
      <c r="A8" s="2" t="inlineStr">
        <is>
          <t>A. Authentication &amp; Access  (TC-AUTH)</t>
        </is>
      </c>
      <c r="B8" s="3" t="inlineStr">
        <is>
          <t>TC-AUTH-07</t>
        </is>
      </c>
      <c r="C8" s="3" t="inlineStr">
        <is>
          <t>P1</t>
        </is>
      </c>
      <c r="D8" s="2" t="inlineStr">
        <is>
          <t>Session persistence</t>
        </is>
      </c>
      <c r="E8" s="2" t="inlineStr">
        <is>
          <t>Log in, refresh page, reopen tab</t>
        </is>
      </c>
      <c r="F8" s="2" t="inlineStr">
        <is>
          <t>Still logged in</t>
        </is>
      </c>
      <c r="G8" s="2" t="inlineStr">
        <is>
          <t>Manual</t>
        </is>
      </c>
      <c r="H8" s="3" t="inlineStr">
        <is>
          <t>Yes</t>
        </is>
      </c>
      <c r="I8" s="4" t="inlineStr"/>
      <c r="J8" s="4" t="inlineStr"/>
      <c r="K8" s="4" t="inlineStr"/>
      <c r="L8" s="5" t="inlineStr"/>
    </row>
    <row r="9">
      <c r="A9" s="2" t="inlineStr">
        <is>
          <t>A. Authentication &amp; Access  (TC-AUTH)</t>
        </is>
      </c>
      <c r="B9" s="3" t="inlineStr">
        <is>
          <t>TC-AUTH-08</t>
        </is>
      </c>
      <c r="C9" s="3" t="inlineStr">
        <is>
          <t>P1</t>
        </is>
      </c>
      <c r="D9" s="2" t="inlineStr">
        <is>
          <t>Role gating — worker</t>
        </is>
      </c>
      <c r="E9" s="2" t="inlineStr">
        <is>
          <t>Log in as a **worker**; try to open `/dashboard/settings` and billing</t>
        </is>
      </c>
      <c r="F9" s="2" t="inlineStr">
        <is>
          <t>Blocked / redirected; cannot see owner-only areas</t>
        </is>
      </c>
      <c r="G9" s="2" t="inlineStr">
        <is>
          <t>Manual</t>
        </is>
      </c>
      <c r="H9" s="3" t="inlineStr">
        <is>
          <t>Yes</t>
        </is>
      </c>
      <c r="I9" s="4" t="inlineStr"/>
      <c r="J9" s="4" t="inlineStr"/>
      <c r="K9" s="4" t="inlineStr"/>
      <c r="L9" s="5" t="inlineStr"/>
    </row>
    <row r="10">
      <c r="A10" s="2" t="inlineStr">
        <is>
          <t>A. Authentication &amp; Access  (TC-AUTH)</t>
        </is>
      </c>
      <c r="B10" s="3" t="inlineStr">
        <is>
          <t>TC-AUTH-09</t>
        </is>
      </c>
      <c r="C10" s="3" t="inlineStr">
        <is>
          <t>P2</t>
        </is>
      </c>
      <c r="D10" s="2" t="inlineStr">
        <is>
          <t>2FA (if enabled)</t>
        </is>
      </c>
      <c r="E10" s="2" t="inlineStr">
        <is>
          <t>Enable 2FA in settings; log out; log back in</t>
        </is>
      </c>
      <c r="F10" s="2" t="inlineStr">
        <is>
          <t>Prompted for SMS/2FA code; valid code grants access</t>
        </is>
      </c>
      <c r="G10" s="2" t="inlineStr">
        <is>
          <t>Manual</t>
        </is>
      </c>
      <c r="H10" s="3" t="inlineStr">
        <is>
          <t>Yes</t>
        </is>
      </c>
      <c r="I10" s="4" t="inlineStr"/>
      <c r="J10" s="4" t="inlineStr"/>
      <c r="K10" s="4" t="inlineStr"/>
      <c r="L10" s="5" t="inlineStr"/>
    </row>
    <row r="11">
      <c r="A11" s="2" t="inlineStr">
        <is>
          <t>A. Authentication &amp; Access  (TC-AUTH)</t>
        </is>
      </c>
      <c r="B11" s="3" t="inlineStr">
        <is>
          <t>TC-AUTH-10</t>
        </is>
      </c>
      <c r="C11" s="3" t="inlineStr">
        <is>
          <t>P2</t>
        </is>
      </c>
      <c r="D11" s="2" t="inlineStr">
        <is>
          <t>Protected route while logged out</t>
        </is>
      </c>
      <c r="E11" s="2" t="inlineStr">
        <is>
          <t>Open `/dashboard` in a fresh/incognito window</t>
        </is>
      </c>
      <c r="F11" s="2" t="inlineStr">
        <is>
          <t>Redirected to login</t>
        </is>
      </c>
      <c r="G11" s="2" t="inlineStr">
        <is>
          <t>Manual</t>
        </is>
      </c>
      <c r="H11" s="3" t="inlineStr">
        <is>
          <t>Yes</t>
        </is>
      </c>
      <c r="I11" s="4" t="inlineStr"/>
      <c r="J11" s="4" t="inlineStr"/>
      <c r="K11" s="4" t="inlineStr"/>
      <c r="L11" s="5" t="inlineStr"/>
    </row>
    <row r="12">
      <c r="A12" s="2" t="inlineStr">
        <is>
          <t>B. Customers &amp; Leads  (TC-CUST)</t>
        </is>
      </c>
      <c r="B12" s="3" t="inlineStr">
        <is>
          <t>TC-CUST-01</t>
        </is>
      </c>
      <c r="C12" s="3" t="inlineStr">
        <is>
          <t>P0</t>
        </is>
      </c>
      <c r="D12" s="2" t="inlineStr">
        <is>
          <t>Create customer</t>
        </is>
      </c>
      <c r="E12" s="2" t="inlineStr">
        <is>
          <t>Dashboard → Customers → Add; fill name, phone, email, address; save</t>
        </is>
      </c>
      <c r="F12" s="2" t="inlineStr">
        <is>
          <t>Customer appears in list; detail page loads</t>
        </is>
      </c>
      <c r="G12" s="6" t="inlineStr">
        <is>
          <t>Automated (CI)</t>
        </is>
      </c>
      <c r="H12" s="7" t="inlineStr">
        <is>
          <t>No</t>
        </is>
      </c>
      <c r="I12" s="4" t="inlineStr"/>
      <c r="J12" s="4" t="inlineStr"/>
      <c r="K12" s="4" t="inlineStr"/>
      <c r="L12" s="5" t="inlineStr"/>
    </row>
    <row r="13">
      <c r="A13" s="2" t="inlineStr">
        <is>
          <t>B. Customers &amp; Leads  (TC-CUST)</t>
        </is>
      </c>
      <c r="B13" s="3" t="inlineStr">
        <is>
          <t>TC-CUST-02</t>
        </is>
      </c>
      <c r="C13" s="3" t="inlineStr">
        <is>
          <t>P1</t>
        </is>
      </c>
      <c r="D13" s="2" t="inlineStr">
        <is>
          <t>Edit customer</t>
        </is>
      </c>
      <c r="E13" s="2" t="inlineStr">
        <is>
          <t>Open a customer → edit a field → save</t>
        </is>
      </c>
      <c r="F13" s="2" t="inlineStr">
        <is>
          <t>Change persists after refresh</t>
        </is>
      </c>
      <c r="G13" s="2" t="inlineStr">
        <is>
          <t>Manual</t>
        </is>
      </c>
      <c r="H13" s="3" t="inlineStr">
        <is>
          <t>Yes</t>
        </is>
      </c>
      <c r="I13" s="4" t="inlineStr"/>
      <c r="J13" s="4" t="inlineStr"/>
      <c r="K13" s="4" t="inlineStr"/>
      <c r="L13" s="5" t="inlineStr"/>
    </row>
    <row r="14">
      <c r="A14" s="2" t="inlineStr">
        <is>
          <t>B. Customers &amp; Leads  (TC-CUST)</t>
        </is>
      </c>
      <c r="B14" s="3" t="inlineStr">
        <is>
          <t>TC-CUST-03</t>
        </is>
      </c>
      <c r="C14" s="3" t="inlineStr">
        <is>
          <t>P1</t>
        </is>
      </c>
      <c r="D14" s="2" t="inlineStr">
        <is>
          <t>Delete customer</t>
        </is>
      </c>
      <c r="E14" s="2" t="inlineStr">
        <is>
          <t>Delete a test customer; confirm</t>
        </is>
      </c>
      <c r="F14" s="2" t="inlineStr">
        <is>
          <t>Removed from list; no orphaned errors</t>
        </is>
      </c>
      <c r="G14" s="2" t="inlineStr">
        <is>
          <t>Manual</t>
        </is>
      </c>
      <c r="H14" s="3" t="inlineStr">
        <is>
          <t>Yes</t>
        </is>
      </c>
      <c r="I14" s="4" t="inlineStr"/>
      <c r="J14" s="4" t="inlineStr"/>
      <c r="K14" s="4" t="inlineStr"/>
      <c r="L14" s="5" t="inlineStr"/>
    </row>
    <row r="15">
      <c r="A15" s="2" t="inlineStr">
        <is>
          <t>B. Customers &amp; Leads  (TC-CUST)</t>
        </is>
      </c>
      <c r="B15" s="3" t="inlineStr">
        <is>
          <t>TC-CUST-04</t>
        </is>
      </c>
      <c r="C15" s="3" t="inlineStr">
        <is>
          <t>P1</t>
        </is>
      </c>
      <c r="D15" s="2" t="inlineStr">
        <is>
          <t>Create lead</t>
        </is>
      </c>
      <c r="E15" s="2" t="inlineStr">
        <is>
          <t>Dashboard → Leads → Add lead with source + follow-up date</t>
        </is>
      </c>
      <c r="F15" s="2" t="inlineStr">
        <is>
          <t>Lead appears; follow-up date shows</t>
        </is>
      </c>
      <c r="G15" s="2" t="inlineStr">
        <is>
          <t>Manual</t>
        </is>
      </c>
      <c r="H15" s="3" t="inlineStr">
        <is>
          <t>Yes</t>
        </is>
      </c>
      <c r="I15" s="4" t="inlineStr"/>
      <c r="J15" s="4" t="inlineStr"/>
      <c r="K15" s="4" t="inlineStr"/>
      <c r="L15" s="5" t="inlineStr"/>
    </row>
    <row r="16">
      <c r="A16" s="2" t="inlineStr">
        <is>
          <t>B. Customers &amp; Leads  (TC-CUST)</t>
        </is>
      </c>
      <c r="B16" s="3" t="inlineStr">
        <is>
          <t>TC-CUST-05</t>
        </is>
      </c>
      <c r="C16" s="3" t="inlineStr">
        <is>
          <t>P1</t>
        </is>
      </c>
      <c r="D16" s="2" t="inlineStr">
        <is>
          <t>Convert lead → customer/job</t>
        </is>
      </c>
      <c r="E16" s="2" t="inlineStr">
        <is>
          <t>From a lead, convert/quote</t>
        </is>
      </c>
      <c r="F16" s="2" t="inlineStr">
        <is>
          <t>Lead becomes customer or job as designed</t>
        </is>
      </c>
      <c r="G16" s="2" t="inlineStr">
        <is>
          <t>Manual</t>
        </is>
      </c>
      <c r="H16" s="3" t="inlineStr">
        <is>
          <t>Yes</t>
        </is>
      </c>
      <c r="I16" s="4" t="inlineStr"/>
      <c r="J16" s="4" t="inlineStr"/>
      <c r="K16" s="4" t="inlineStr"/>
      <c r="L16" s="5" t="inlineStr"/>
    </row>
    <row r="17">
      <c r="A17" s="2" t="inlineStr">
        <is>
          <t>B. Customers &amp; Leads  (TC-CUST)</t>
        </is>
      </c>
      <c r="B17" s="3" t="inlineStr">
        <is>
          <t>TC-CUST-06</t>
        </is>
      </c>
      <c r="C17" s="3" t="inlineStr">
        <is>
          <t>P2</t>
        </is>
      </c>
      <c r="D17" s="2" t="inlineStr">
        <is>
          <t>Import customers</t>
        </is>
      </c>
      <c r="E17" s="2" t="inlineStr">
        <is>
          <t>Dashboard → Import Customers; upload a small CSV</t>
        </is>
      </c>
      <c r="F17" s="2" t="inlineStr">
        <is>
          <t>Rows imported; counts (imported/skipped/failed) shown</t>
        </is>
      </c>
      <c r="G17" s="2" t="inlineStr">
        <is>
          <t>Manual</t>
        </is>
      </c>
      <c r="H17" s="3" t="inlineStr">
        <is>
          <t>Yes</t>
        </is>
      </c>
      <c r="I17" s="4" t="inlineStr"/>
      <c r="J17" s="4" t="inlineStr"/>
      <c r="K17" s="4" t="inlineStr"/>
      <c r="L17" s="5" t="inlineStr"/>
    </row>
    <row r="18">
      <c r="A18" s="2" t="inlineStr">
        <is>
          <t>B. Customers &amp; Leads  (TC-CUST)</t>
        </is>
      </c>
      <c r="B18" s="3" t="inlineStr">
        <is>
          <t>TC-CUST-07</t>
        </is>
      </c>
      <c r="C18" s="3" t="inlineStr">
        <is>
          <t>P2</t>
        </is>
      </c>
      <c r="D18" s="2" t="inlineStr">
        <is>
          <t>Search/filter customers</t>
        </is>
      </c>
      <c r="E18" s="2" t="inlineStr">
        <is>
          <t>Use the search box</t>
        </is>
      </c>
      <c r="F18" s="2" t="inlineStr">
        <is>
          <t>Results filter correctly</t>
        </is>
      </c>
      <c r="G18" s="2" t="inlineStr">
        <is>
          <t>Manual</t>
        </is>
      </c>
      <c r="H18" s="3" t="inlineStr">
        <is>
          <t>Yes</t>
        </is>
      </c>
      <c r="I18" s="4" t="inlineStr"/>
      <c r="J18" s="4" t="inlineStr"/>
      <c r="K18" s="4" t="inlineStr"/>
      <c r="L18" s="5" t="inlineStr"/>
    </row>
    <row r="19">
      <c r="A19" s="2" t="inlineStr">
        <is>
          <t>C. Jobs &amp; Scheduling  (TC-JOB)</t>
        </is>
      </c>
      <c r="B19" s="3" t="inlineStr">
        <is>
          <t>TC-JOB-01</t>
        </is>
      </c>
      <c r="C19" s="3" t="inlineStr">
        <is>
          <t>P0</t>
        </is>
      </c>
      <c r="D19" s="2" t="inlineStr">
        <is>
          <t>Create job</t>
        </is>
      </c>
      <c r="E19" s="2" t="inlineStr">
        <is>
          <t>Dashboard → Jobs → New; pick customer, service, date/time, assign worker; save</t>
        </is>
      </c>
      <c r="F19" s="2" t="inlineStr">
        <is>
          <t>Job appears on Jobs list and Schedule</t>
        </is>
      </c>
      <c r="G19" s="6" t="inlineStr">
        <is>
          <t>Automated (CI)</t>
        </is>
      </c>
      <c r="H19" s="7" t="inlineStr">
        <is>
          <t>No</t>
        </is>
      </c>
      <c r="I19" s="4" t="inlineStr"/>
      <c r="J19" s="4" t="inlineStr"/>
      <c r="K19" s="4" t="inlineStr"/>
      <c r="L19" s="5" t="inlineStr"/>
    </row>
    <row r="20">
      <c r="A20" s="2" t="inlineStr">
        <is>
          <t>C. Jobs &amp; Scheduling  (TC-JOB)</t>
        </is>
      </c>
      <c r="B20" s="3" t="inlineStr">
        <is>
          <t>TC-JOB-02</t>
        </is>
      </c>
      <c r="C20" s="3" t="inlineStr">
        <is>
          <t>P0</t>
        </is>
      </c>
      <c r="D20" s="2" t="inlineStr">
        <is>
          <t>Job times show 12-hour</t>
        </is>
      </c>
      <c r="E20" s="2" t="inlineStr">
        <is>
          <t>View a job with a scheduled time</t>
        </is>
      </c>
      <c r="F20" s="2" t="inlineStr">
        <is>
          <t>Time shows as AM/PM (e.g. 2:30 PM), not 24-hour</t>
        </is>
      </c>
      <c r="G20" s="6" t="inlineStr">
        <is>
          <t>Automated (CI)</t>
        </is>
      </c>
      <c r="H20" s="7" t="inlineStr">
        <is>
          <t>No</t>
        </is>
      </c>
      <c r="I20" s="4" t="inlineStr"/>
      <c r="J20" s="4" t="inlineStr"/>
      <c r="K20" s="4" t="inlineStr"/>
      <c r="L20" s="5" t="inlineStr"/>
    </row>
    <row r="21">
      <c r="A21" s="2" t="inlineStr">
        <is>
          <t>C. Jobs &amp; Scheduling  (TC-JOB)</t>
        </is>
      </c>
      <c r="B21" s="3" t="inlineStr">
        <is>
          <t>TC-JOB-03</t>
        </is>
      </c>
      <c r="C21" s="3" t="inlineStr">
        <is>
          <t>P1</t>
        </is>
      </c>
      <c r="D21" s="2" t="inlineStr">
        <is>
          <t>Edit / reschedule job</t>
        </is>
      </c>
      <c r="E21" s="2" t="inlineStr">
        <is>
          <t>Change a job's date/time/worker</t>
        </is>
      </c>
      <c r="F21" s="2" t="inlineStr">
        <is>
          <t>Update reflects on Jobs + Schedule</t>
        </is>
      </c>
      <c r="G21" s="2" t="inlineStr">
        <is>
          <t>Manual</t>
        </is>
      </c>
      <c r="H21" s="3" t="inlineStr">
        <is>
          <t>Yes</t>
        </is>
      </c>
      <c r="I21" s="4" t="inlineStr"/>
      <c r="J21" s="4" t="inlineStr"/>
      <c r="K21" s="4" t="inlineStr"/>
      <c r="L21" s="5" t="inlineStr"/>
    </row>
    <row r="22">
      <c r="A22" s="2" t="inlineStr">
        <is>
          <t>C. Jobs &amp; Scheduling  (TC-JOB)</t>
        </is>
      </c>
      <c r="B22" s="3" t="inlineStr">
        <is>
          <t>TC-JOB-04</t>
        </is>
      </c>
      <c r="C22" s="3" t="inlineStr">
        <is>
          <t>P1</t>
        </is>
      </c>
      <c r="D22" s="2" t="inlineStr">
        <is>
          <t>Job status transitions</t>
        </is>
      </c>
      <c r="E22" s="2" t="inlineStr">
        <is>
          <t>Move a job: scheduled → in progress → completed</t>
        </is>
      </c>
      <c r="F22" s="2" t="inlineStr">
        <is>
          <t>Status updates; completed jobs handled correctly</t>
        </is>
      </c>
      <c r="G22" s="2" t="inlineStr">
        <is>
          <t>Manual</t>
        </is>
      </c>
      <c r="H22" s="3" t="inlineStr">
        <is>
          <t>Yes</t>
        </is>
      </c>
      <c r="I22" s="4" t="inlineStr"/>
      <c r="J22" s="4" t="inlineStr"/>
      <c r="K22" s="4" t="inlineStr"/>
      <c r="L22" s="5" t="inlineStr"/>
    </row>
    <row r="23">
      <c r="A23" s="2" t="inlineStr">
        <is>
          <t>C. Jobs &amp; Scheduling  (TC-JOB)</t>
        </is>
      </c>
      <c r="B23" s="3" t="inlineStr">
        <is>
          <t>TC-JOB-05</t>
        </is>
      </c>
      <c r="C23" s="3" t="inlineStr">
        <is>
          <t>P1</t>
        </is>
      </c>
      <c r="D23" s="2" t="inlineStr">
        <is>
          <t>Schedule view</t>
        </is>
      </c>
      <c r="E23" s="2" t="inlineStr">
        <is>
          <t>Open Dashboard → Schedule</t>
        </is>
      </c>
      <c r="F23" s="2" t="inlineStr">
        <is>
          <t>Jobs render on correct days/times</t>
        </is>
      </c>
      <c r="G23" s="2" t="inlineStr">
        <is>
          <t>Manual</t>
        </is>
      </c>
      <c r="H23" s="3" t="inlineStr">
        <is>
          <t>Yes</t>
        </is>
      </c>
      <c r="I23" s="4" t="inlineStr"/>
      <c r="J23" s="4" t="inlineStr"/>
      <c r="K23" s="4" t="inlineStr"/>
      <c r="L23" s="5" t="inlineStr"/>
    </row>
    <row r="24">
      <c r="A24" s="2" t="inlineStr">
        <is>
          <t>C. Jobs &amp; Scheduling  (TC-JOB)</t>
        </is>
      </c>
      <c r="B24" s="3" t="inlineStr">
        <is>
          <t>TC-JOB-06</t>
        </is>
      </c>
      <c r="C24" s="3" t="inlineStr">
        <is>
          <t>P1</t>
        </is>
      </c>
      <c r="D24" s="2" t="inlineStr">
        <is>
          <t>Dispatch board</t>
        </is>
      </c>
      <c r="E24" s="2" t="inlineStr">
        <is>
          <t>Open Dashboard → Dispatch</t>
        </is>
      </c>
      <c r="F24" s="2" t="inlineStr">
        <is>
          <t>Jobs/workers display; assignment works</t>
        </is>
      </c>
      <c r="G24" s="2" t="inlineStr">
        <is>
          <t>Manual</t>
        </is>
      </c>
      <c r="H24" s="3" t="inlineStr">
        <is>
          <t>Yes</t>
        </is>
      </c>
      <c r="I24" s="4" t="inlineStr"/>
      <c r="J24" s="4" t="inlineStr"/>
      <c r="K24" s="4" t="inlineStr"/>
      <c r="L24" s="5" t="inlineStr"/>
    </row>
    <row r="25">
      <c r="A25" s="2" t="inlineStr">
        <is>
          <t>C. Jobs &amp; Scheduling  (TC-JOB)</t>
        </is>
      </c>
      <c r="B25" s="3" t="inlineStr">
        <is>
          <t>TC-JOB-07</t>
        </is>
      </c>
      <c r="C25" s="3" t="inlineStr">
        <is>
          <t>P2</t>
        </is>
      </c>
      <c r="D25" s="2" t="inlineStr">
        <is>
          <t>Recurring jobs</t>
        </is>
      </c>
      <c r="E25" s="2" t="inlineStr">
        <is>
          <t>Create a recurring job (e.g. weekly)</t>
        </is>
      </c>
      <c r="F25" s="2" t="inlineStr">
        <is>
          <t>Future instances generate correctly</t>
        </is>
      </c>
      <c r="G25" s="2" t="inlineStr">
        <is>
          <t>Manual</t>
        </is>
      </c>
      <c r="H25" s="3" t="inlineStr">
        <is>
          <t>Yes</t>
        </is>
      </c>
      <c r="I25" s="4" t="inlineStr"/>
      <c r="J25" s="4" t="inlineStr"/>
      <c r="K25" s="4" t="inlineStr"/>
      <c r="L25" s="5" t="inlineStr"/>
    </row>
    <row r="26">
      <c r="A26" s="2" t="inlineStr">
        <is>
          <t>C. Jobs &amp; Scheduling  (TC-JOB)</t>
        </is>
      </c>
      <c r="B26" s="3" t="inlineStr">
        <is>
          <t>TC-JOB-08</t>
        </is>
      </c>
      <c r="C26" s="3" t="inlineStr">
        <is>
          <t>P2</t>
        </is>
      </c>
      <c r="D26" s="2" t="inlineStr">
        <is>
          <t>Route optimizer</t>
        </is>
      </c>
      <c r="E26" s="2" t="inlineStr">
        <is>
          <t>Open Route Optimizer with several jobs</t>
        </is>
      </c>
      <c r="F26" s="2" t="inlineStr">
        <is>
          <t>Produces an ordered route without error</t>
        </is>
      </c>
      <c r="G26" s="2" t="inlineStr">
        <is>
          <t>Manual</t>
        </is>
      </c>
      <c r="H26" s="3" t="inlineStr">
        <is>
          <t>Yes</t>
        </is>
      </c>
      <c r="I26" s="4" t="inlineStr"/>
      <c r="J26" s="4" t="inlineStr"/>
      <c r="K26" s="4" t="inlineStr"/>
      <c r="L26" s="5" t="inlineStr"/>
    </row>
    <row r="27">
      <c r="A27" s="2" t="inlineStr">
        <is>
          <t>D. Quotes &amp; Estimates  (TC-QUOTE)</t>
        </is>
      </c>
      <c r="B27" s="3" t="inlineStr">
        <is>
          <t>TC-QUOTE-01</t>
        </is>
      </c>
      <c r="C27" s="3" t="inlineStr">
        <is>
          <t>P0</t>
        </is>
      </c>
      <c r="D27" s="2" t="inlineStr">
        <is>
          <t>Create quote</t>
        </is>
      </c>
      <c r="E27" s="2" t="inlineStr">
        <is>
          <t>Dashboard → Quotes → New; add customer + line items; save</t>
        </is>
      </c>
      <c r="F27" s="2" t="inlineStr">
        <is>
          <t>Quote total calculates; saved with a quote number</t>
        </is>
      </c>
      <c r="G27" s="6" t="inlineStr">
        <is>
          <t>Automated (CI)</t>
        </is>
      </c>
      <c r="H27" s="7" t="inlineStr">
        <is>
          <t>No</t>
        </is>
      </c>
      <c r="I27" s="4" t="inlineStr"/>
      <c r="J27" s="4" t="inlineStr"/>
      <c r="K27" s="4" t="inlineStr"/>
      <c r="L27" s="5" t="inlineStr"/>
    </row>
    <row r="28">
      <c r="A28" s="2" t="inlineStr">
        <is>
          <t>D. Quotes &amp; Estimates  (TC-QUOTE)</t>
        </is>
      </c>
      <c r="B28" s="3" t="inlineStr">
        <is>
          <t>TC-QUOTE-02</t>
        </is>
      </c>
      <c r="C28" s="3" t="inlineStr">
        <is>
          <t>P0</t>
        </is>
      </c>
      <c r="D28" s="2" t="inlineStr">
        <is>
          <t>Send quote to customer</t>
        </is>
      </c>
      <c r="E28" s="2" t="inlineStr">
        <is>
          <t>Send/share the quote; open its public link `/quote/[id]`</t>
        </is>
      </c>
      <c r="F28" s="2" t="inlineStr">
        <is>
          <t>Public quote page renders with correct totals</t>
        </is>
      </c>
      <c r="G28" s="6" t="inlineStr">
        <is>
          <t>Automated (CI)</t>
        </is>
      </c>
      <c r="H28" s="7" t="inlineStr">
        <is>
          <t>No</t>
        </is>
      </c>
      <c r="I28" s="4" t="inlineStr"/>
      <c r="J28" s="4" t="inlineStr"/>
      <c r="K28" s="4" t="inlineStr"/>
      <c r="L28" s="5" t="inlineStr"/>
    </row>
    <row r="29">
      <c r="A29" s="2" t="inlineStr">
        <is>
          <t>D. Quotes &amp; Estimates  (TC-QUOTE)</t>
        </is>
      </c>
      <c r="B29" s="3" t="inlineStr">
        <is>
          <t>TC-QUOTE-03</t>
        </is>
      </c>
      <c r="C29" s="3" t="inlineStr">
        <is>
          <t>P0</t>
        </is>
      </c>
      <c r="D29" s="2" t="inlineStr">
        <is>
          <t>Customer approves quote</t>
        </is>
      </c>
      <c r="E29" s="2" t="inlineStr">
        <is>
          <t>On `/quote/[id]`, click Approve</t>
        </is>
      </c>
      <c r="F29" s="2" t="inlineStr">
        <is>
          <t>Status changes to approved; business side reflects it</t>
        </is>
      </c>
      <c r="G29" s="2" t="inlineStr">
        <is>
          <t>Manual</t>
        </is>
      </c>
      <c r="H29" s="3" t="inlineStr">
        <is>
          <t>Yes</t>
        </is>
      </c>
      <c r="I29" s="4" t="inlineStr"/>
      <c r="J29" s="4" t="inlineStr"/>
      <c r="K29" s="4" t="inlineStr"/>
      <c r="L29" s="5" t="inlineStr"/>
    </row>
    <row r="30">
      <c r="A30" s="2" t="inlineStr">
        <is>
          <t>D. Quotes &amp; Estimates  (TC-QUOTE)</t>
        </is>
      </c>
      <c r="B30" s="3" t="inlineStr">
        <is>
          <t>TC-QUOTE-04</t>
        </is>
      </c>
      <c r="C30" s="3" t="inlineStr">
        <is>
          <t>P1</t>
        </is>
      </c>
      <c r="D30" s="2" t="inlineStr">
        <is>
          <t>Customer declines quote</t>
        </is>
      </c>
      <c r="E30" s="2" t="inlineStr">
        <is>
          <t>On a quote, click Decline</t>
        </is>
      </c>
      <c r="F30" s="2" t="inlineStr">
        <is>
          <t>Status changes to declined</t>
        </is>
      </c>
      <c r="G30" s="2" t="inlineStr">
        <is>
          <t>Manual</t>
        </is>
      </c>
      <c r="H30" s="3" t="inlineStr">
        <is>
          <t>Yes</t>
        </is>
      </c>
      <c r="I30" s="4" t="inlineStr"/>
      <c r="J30" s="4" t="inlineStr"/>
      <c r="K30" s="4" t="inlineStr"/>
      <c r="L30" s="5" t="inlineStr"/>
    </row>
    <row r="31">
      <c r="A31" s="2" t="inlineStr">
        <is>
          <t>D. Quotes &amp; Estimates  (TC-QUOTE)</t>
        </is>
      </c>
      <c r="B31" s="3" t="inlineStr">
        <is>
          <t>TC-QUOTE-05</t>
        </is>
      </c>
      <c r="C31" s="3" t="inlineStr">
        <is>
          <t>P1</t>
        </is>
      </c>
      <c r="D31" s="2" t="inlineStr">
        <is>
          <t>Edit sent quote / revision history</t>
        </is>
      </c>
      <c r="E31" s="2" t="inlineStr">
        <is>
          <t>Edit a quote after sending</t>
        </is>
      </c>
      <c r="F31" s="2" t="inlineStr">
        <is>
          <t>Revision recorded; customer sees updated version</t>
        </is>
      </c>
      <c r="G31" s="2" t="inlineStr">
        <is>
          <t>Manual</t>
        </is>
      </c>
      <c r="H31" s="3" t="inlineStr">
        <is>
          <t>Yes</t>
        </is>
      </c>
      <c r="I31" s="4" t="inlineStr"/>
      <c r="J31" s="4" t="inlineStr"/>
      <c r="K31" s="4" t="inlineStr"/>
      <c r="L31" s="5" t="inlineStr"/>
    </row>
    <row r="32">
      <c r="A32" s="2" t="inlineStr">
        <is>
          <t>D. Quotes &amp; Estimates  (TC-QUOTE)</t>
        </is>
      </c>
      <c r="B32" s="3" t="inlineStr">
        <is>
          <t>TC-QUOTE-06</t>
        </is>
      </c>
      <c r="C32" s="3" t="inlineStr">
        <is>
          <t>P1</t>
        </is>
      </c>
      <c r="D32" s="2" t="inlineStr">
        <is>
          <t>Smart Quote</t>
        </is>
      </c>
      <c r="E32" s="2" t="inlineStr">
        <is>
          <t>Dashboard → Smart Quote; generate a quote</t>
        </is>
      </c>
      <c r="F32" s="2" t="inlineStr">
        <is>
          <t>Produces a sensible quote without error</t>
        </is>
      </c>
      <c r="G32" s="2" t="inlineStr">
        <is>
          <t>Manual</t>
        </is>
      </c>
      <c r="H32" s="3" t="inlineStr">
        <is>
          <t>Yes</t>
        </is>
      </c>
      <c r="I32" s="4" t="inlineStr"/>
      <c r="J32" s="4" t="inlineStr"/>
      <c r="K32" s="4" t="inlineStr"/>
      <c r="L32" s="5" t="inlineStr"/>
    </row>
    <row r="33">
      <c r="A33" s="2" t="inlineStr">
        <is>
          <t>D. Quotes &amp; Estimates  (TC-QUOTE)</t>
        </is>
      </c>
      <c r="B33" s="3" t="inlineStr">
        <is>
          <t>TC-QUOTE-07</t>
        </is>
      </c>
      <c r="C33" s="3" t="inlineStr">
        <is>
          <t>P1</t>
        </is>
      </c>
      <c r="D33" s="2" t="inlineStr">
        <is>
          <t>Material estimator</t>
        </is>
      </c>
      <c r="E33" s="2" t="inlineStr">
        <is>
          <t>Dashboard → Estimator; run the wizard</t>
        </is>
      </c>
      <c r="F33" s="2" t="inlineStr">
        <is>
          <t>Material + labor totals compute; can save/attach to quote</t>
        </is>
      </c>
      <c r="G33" s="2" t="inlineStr">
        <is>
          <t>Manual</t>
        </is>
      </c>
      <c r="H33" s="3" t="inlineStr">
        <is>
          <t>Yes</t>
        </is>
      </c>
      <c r="I33" s="4" t="inlineStr"/>
      <c r="J33" s="4" t="inlineStr"/>
      <c r="K33" s="4" t="inlineStr"/>
      <c r="L33" s="5" t="inlineStr"/>
    </row>
    <row r="34">
      <c r="A34" s="2" t="inlineStr">
        <is>
          <t>D. Quotes &amp; Estimates  (TC-QUOTE)</t>
        </is>
      </c>
      <c r="B34" s="3" t="inlineStr">
        <is>
          <t>TC-QUOTE-08</t>
        </is>
      </c>
      <c r="C34" s="3" t="inlineStr">
        <is>
          <t>P2</t>
        </is>
      </c>
      <c r="D34" s="2" t="inlineStr">
        <is>
          <t>Quote → invoice</t>
        </is>
      </c>
      <c r="E34" s="2" t="inlineStr">
        <is>
          <t>Convert an approved quote to an invoice</t>
        </is>
      </c>
      <c r="F34" s="2" t="inlineStr">
        <is>
          <t>Invoice created with matching line items</t>
        </is>
      </c>
      <c r="G34" s="2" t="inlineStr">
        <is>
          <t>Manual</t>
        </is>
      </c>
      <c r="H34" s="3" t="inlineStr">
        <is>
          <t>Yes</t>
        </is>
      </c>
      <c r="I34" s="4" t="inlineStr"/>
      <c r="J34" s="4" t="inlineStr"/>
      <c r="K34" s="4" t="inlineStr"/>
      <c r="L34" s="5" t="inlineStr"/>
    </row>
    <row r="35">
      <c r="A35" s="2" t="inlineStr">
        <is>
          <t>E. Invoices &amp; Payments  (TC-INV)</t>
        </is>
      </c>
      <c r="B35" s="3" t="inlineStr">
        <is>
          <t>TC-INV-01</t>
        </is>
      </c>
      <c r="C35" s="3" t="inlineStr">
        <is>
          <t>P0</t>
        </is>
      </c>
      <c r="D35" s="2" t="inlineStr">
        <is>
          <t>Create invoice</t>
        </is>
      </c>
      <c r="E35" s="2" t="inlineStr">
        <is>
          <t>Dashboard → Invoices → New; add items; save</t>
        </is>
      </c>
      <c r="F35" s="2" t="inlineStr">
        <is>
          <t>Invoice total + number generated</t>
        </is>
      </c>
      <c r="G35" s="6" t="inlineStr">
        <is>
          <t>Automated (CI)</t>
        </is>
      </c>
      <c r="H35" s="7" t="inlineStr">
        <is>
          <t>No</t>
        </is>
      </c>
      <c r="I35" s="4" t="inlineStr"/>
      <c r="J35" s="4" t="inlineStr"/>
      <c r="K35" s="4" t="inlineStr"/>
      <c r="L35" s="5" t="inlineStr"/>
    </row>
    <row r="36">
      <c r="A36" s="2" t="inlineStr">
        <is>
          <t>E. Invoices &amp; Payments  (TC-INV)</t>
        </is>
      </c>
      <c r="B36" s="3" t="inlineStr">
        <is>
          <t>TC-INV-02</t>
        </is>
      </c>
      <c r="C36" s="3" t="inlineStr">
        <is>
          <t>P0</t>
        </is>
      </c>
      <c r="D36" s="2" t="inlineStr">
        <is>
          <t>Send invoice</t>
        </is>
      </c>
      <c r="E36" s="2" t="inlineStr">
        <is>
          <t>Send/share; open public link `/invoice/[id]`</t>
        </is>
      </c>
      <c r="F36" s="2" t="inlineStr">
        <is>
          <t>Public invoice renders correctly</t>
        </is>
      </c>
      <c r="G36" s="2" t="inlineStr">
        <is>
          <t>Manual</t>
        </is>
      </c>
      <c r="H36" s="3" t="inlineStr">
        <is>
          <t>Yes</t>
        </is>
      </c>
      <c r="I36" s="4" t="inlineStr"/>
      <c r="J36" s="4" t="inlineStr"/>
      <c r="K36" s="4" t="inlineStr"/>
      <c r="L36" s="5" t="inlineStr"/>
    </row>
    <row r="37">
      <c r="A37" s="2" t="inlineStr">
        <is>
          <t>E. Invoices &amp; Payments  (TC-INV)</t>
        </is>
      </c>
      <c r="B37" s="3" t="inlineStr">
        <is>
          <t>TC-INV-03</t>
        </is>
      </c>
      <c r="C37" s="3" t="inlineStr">
        <is>
          <t>P0</t>
        </is>
      </c>
      <c r="D37" s="2" t="inlineStr">
        <is>
          <t>Pay invoice (test card)</t>
        </is>
      </c>
      <c r="E37" s="2" t="inlineStr">
        <is>
          <t>On `/invoice/[id]`, pay with `4242…`</t>
        </is>
      </c>
      <c r="F37" s="2" t="inlineStr">
        <is>
          <t>Payment succeeds; invoice marked paid</t>
        </is>
      </c>
      <c r="G37" s="2" t="inlineStr">
        <is>
          <t>Manual</t>
        </is>
      </c>
      <c r="H37" s="3" t="inlineStr">
        <is>
          <t>Yes</t>
        </is>
      </c>
      <c r="I37" s="4" t="inlineStr"/>
      <c r="J37" s="4" t="inlineStr"/>
      <c r="K37" s="4" t="inlineStr"/>
      <c r="L37" s="5" t="inlineStr"/>
    </row>
    <row r="38">
      <c r="A38" s="2" t="inlineStr">
        <is>
          <t>E. Invoices &amp; Payments  (TC-INV)</t>
        </is>
      </c>
      <c r="B38" s="3" t="inlineStr">
        <is>
          <t>TC-INV-04</t>
        </is>
      </c>
      <c r="C38" s="3" t="inlineStr">
        <is>
          <t>P0</t>
        </is>
      </c>
      <c r="D38" s="2" t="inlineStr">
        <is>
          <t>Declined payment</t>
        </is>
      </c>
      <c r="E38" s="2" t="inlineStr">
        <is>
          <t>Pay with `4000 0000 0000 0002`</t>
        </is>
      </c>
      <c r="F38" s="2" t="inlineStr">
        <is>
          <t>Decline handled gracefully; invoice stays unpaid; clear message</t>
        </is>
      </c>
      <c r="G38" s="2" t="inlineStr">
        <is>
          <t>Manual</t>
        </is>
      </c>
      <c r="H38" s="3" t="inlineStr">
        <is>
          <t>Yes</t>
        </is>
      </c>
      <c r="I38" s="4" t="inlineStr"/>
      <c r="J38" s="4" t="inlineStr"/>
      <c r="K38" s="4" t="inlineStr"/>
      <c r="L38" s="5" t="inlineStr"/>
    </row>
    <row r="39">
      <c r="A39" s="2" t="inlineStr">
        <is>
          <t>E. Invoices &amp; Payments  (TC-INV)</t>
        </is>
      </c>
      <c r="B39" s="3" t="inlineStr">
        <is>
          <t>TC-INV-05</t>
        </is>
      </c>
      <c r="C39" s="3" t="inlineStr">
        <is>
          <t>P1</t>
        </is>
      </c>
      <c r="D39" s="2" t="inlineStr">
        <is>
          <t>Payment methods display</t>
        </is>
      </c>
      <c r="E39" s="2" t="inlineStr">
        <is>
          <t>Configure saved payment methods (Zelle/Venmo/etc.) in settings; view on invoice</t>
        </is>
      </c>
      <c r="F39" s="2" t="inlineStr">
        <is>
          <t>Methods show on the invoice for the customer</t>
        </is>
      </c>
      <c r="G39" s="2" t="inlineStr">
        <is>
          <t>Manual</t>
        </is>
      </c>
      <c r="H39" s="3" t="inlineStr">
        <is>
          <t>Yes</t>
        </is>
      </c>
      <c r="I39" s="4" t="inlineStr"/>
      <c r="J39" s="4" t="inlineStr"/>
      <c r="K39" s="4" t="inlineStr"/>
      <c r="L39" s="5" t="inlineStr"/>
    </row>
    <row r="40">
      <c r="A40" s="2" t="inlineStr">
        <is>
          <t>E. Invoices &amp; Payments  (TC-INV)</t>
        </is>
      </c>
      <c r="B40" s="3" t="inlineStr">
        <is>
          <t>TC-INV-06</t>
        </is>
      </c>
      <c r="C40" s="3" t="inlineStr">
        <is>
          <t>P1</t>
        </is>
      </c>
      <c r="D40" s="2" t="inlineStr">
        <is>
          <t>Payment plans</t>
        </is>
      </c>
      <c r="E40" s="2" t="inlineStr">
        <is>
          <t>Create a payment plan / installments on an invoice</t>
        </is>
      </c>
      <c r="F40" s="2" t="inlineStr">
        <is>
          <t>Installments generate; schedule correct</t>
        </is>
      </c>
      <c r="G40" s="2" t="inlineStr">
        <is>
          <t>Manual</t>
        </is>
      </c>
      <c r="H40" s="3" t="inlineStr">
        <is>
          <t>Yes</t>
        </is>
      </c>
      <c r="I40" s="4" t="inlineStr"/>
      <c r="J40" s="4" t="inlineStr"/>
      <c r="K40" s="4" t="inlineStr"/>
      <c r="L40" s="5" t="inlineStr"/>
    </row>
    <row r="41">
      <c r="A41" s="2" t="inlineStr">
        <is>
          <t>E. Invoices &amp; Payments  (TC-INV)</t>
        </is>
      </c>
      <c r="B41" s="3" t="inlineStr">
        <is>
          <t>TC-INV-07</t>
        </is>
      </c>
      <c r="C41" s="3" t="inlineStr">
        <is>
          <t>P2</t>
        </is>
      </c>
      <c r="D41" s="2" t="inlineStr">
        <is>
          <t>Invoice statuses</t>
        </is>
      </c>
      <c r="E41" s="2" t="inlineStr">
        <is>
          <t>Check sent / paid / overdue states</t>
        </is>
      </c>
      <c r="F41" s="2" t="inlineStr">
        <is>
          <t>Statuses display and update correctly</t>
        </is>
      </c>
      <c r="G41" s="2" t="inlineStr">
        <is>
          <t>Manual</t>
        </is>
      </c>
      <c r="H41" s="3" t="inlineStr">
        <is>
          <t>Yes</t>
        </is>
      </c>
      <c r="I41" s="4" t="inlineStr"/>
      <c r="J41" s="4" t="inlineStr"/>
      <c r="K41" s="4" t="inlineStr"/>
      <c r="L41" s="5" t="inlineStr"/>
    </row>
    <row r="42">
      <c r="A42" s="2" t="inlineStr">
        <is>
          <t>F. Jenny AI  (TC-JENNY)</t>
        </is>
      </c>
      <c r="B42" s="3" t="inlineStr">
        <is>
          <t>TC-JENNY-01</t>
        </is>
      </c>
      <c r="C42" s="3" t="inlineStr">
        <is>
          <t>P1</t>
        </is>
      </c>
      <c r="D42" s="2" t="inlineStr">
        <is>
          <t>Ask Jenny (Lite)</t>
        </is>
      </c>
      <c r="E42" s="2" t="inlineStr">
        <is>
          <t>Open Jenny; ask a product/help question</t>
        </is>
      </c>
      <c r="F42" s="2" t="inlineStr">
        <is>
          <t>Relevant answer returned; no crash</t>
        </is>
      </c>
      <c r="G42" s="2" t="inlineStr">
        <is>
          <t>Manual</t>
        </is>
      </c>
      <c r="H42" s="3" t="inlineStr">
        <is>
          <t>Yes</t>
        </is>
      </c>
      <c r="I42" s="4" t="inlineStr"/>
      <c r="J42" s="4" t="inlineStr"/>
      <c r="K42" s="4" t="inlineStr"/>
      <c r="L42" s="5" t="inlineStr"/>
    </row>
    <row r="43">
      <c r="A43" s="2" t="inlineStr">
        <is>
          <t>F. Jenny AI  (TC-JENNY)</t>
        </is>
      </c>
      <c r="B43" s="3" t="inlineStr">
        <is>
          <t>TC-JENNY-02</t>
        </is>
      </c>
      <c r="C43" s="3" t="inlineStr">
        <is>
          <t>P1</t>
        </is>
      </c>
      <c r="D43" s="2" t="inlineStr">
        <is>
          <t>Jenny Pro features</t>
        </is>
      </c>
      <c r="E43" s="2" t="inlineStr">
        <is>
          <t>Open Jenny Pro area</t>
        </is>
      </c>
      <c r="F43" s="2" t="inlineStr">
        <is>
          <t>Pro features available (beta access unlocks these)</t>
        </is>
      </c>
      <c r="G43" s="2" t="inlineStr">
        <is>
          <t>Manual</t>
        </is>
      </c>
      <c r="H43" s="3" t="inlineStr">
        <is>
          <t>Yes</t>
        </is>
      </c>
      <c r="I43" s="4" t="inlineStr"/>
      <c r="J43" s="4" t="inlineStr"/>
      <c r="K43" s="4" t="inlineStr"/>
      <c r="L43" s="5" t="inlineStr"/>
    </row>
    <row r="44">
      <c r="A44" s="2" t="inlineStr">
        <is>
          <t>F. Jenny AI  (TC-JENNY)</t>
        </is>
      </c>
      <c r="B44" s="3" t="inlineStr">
        <is>
          <t>TC-JENNY-03</t>
        </is>
      </c>
      <c r="C44" s="3" t="inlineStr">
        <is>
          <t>P1</t>
        </is>
      </c>
      <c r="D44" s="2" t="inlineStr">
        <is>
          <t>Jenny autonomous actions</t>
        </is>
      </c>
      <c r="E44" s="2" t="inlineStr">
        <is>
          <t>Open Jenny Actions / Exec; review suggested actions</t>
        </is>
      </c>
      <c r="F44" s="2" t="inlineStr">
        <is>
          <t>Actions list loads; enable/disable a config works</t>
        </is>
      </c>
      <c r="G44" s="2" t="inlineStr">
        <is>
          <t>Manual</t>
        </is>
      </c>
      <c r="H44" s="3" t="inlineStr">
        <is>
          <t>Yes</t>
        </is>
      </c>
      <c r="I44" s="4" t="inlineStr"/>
      <c r="J44" s="4" t="inlineStr"/>
      <c r="K44" s="4" t="inlineStr"/>
      <c r="L44" s="5" t="inlineStr"/>
    </row>
    <row r="45">
      <c r="A45" s="2" t="inlineStr">
        <is>
          <t>F. Jenny AI  (TC-JENNY)</t>
        </is>
      </c>
      <c r="B45" s="3" t="inlineStr">
        <is>
          <t>TC-JENNY-04</t>
        </is>
      </c>
      <c r="C45" s="3" t="inlineStr">
        <is>
          <t>P2</t>
        </is>
      </c>
      <c r="D45" s="2" t="inlineStr">
        <is>
          <t>"Talk to a human" escalation</t>
        </is>
      </c>
      <c r="E45" s="2" t="inlineStr">
        <is>
          <t>In Ask Jenny, click escalate</t>
        </is>
      </c>
      <c r="F45" s="2" t="inlineStr">
        <is>
          <t>Hands off / opens chat as designed</t>
        </is>
      </c>
      <c r="G45" s="2" t="inlineStr">
        <is>
          <t>Manual</t>
        </is>
      </c>
      <c r="H45" s="3" t="inlineStr">
        <is>
          <t>Yes</t>
        </is>
      </c>
      <c r="I45" s="4" t="inlineStr"/>
      <c r="J45" s="4" t="inlineStr"/>
      <c r="K45" s="4" t="inlineStr"/>
      <c r="L45" s="5" t="inlineStr"/>
    </row>
    <row r="46">
      <c r="A46" s="2" t="inlineStr">
        <is>
          <t>F. Jenny AI  (TC-JENNY)</t>
        </is>
      </c>
      <c r="B46" s="3" t="inlineStr">
        <is>
          <t>TC-JENNY-05</t>
        </is>
      </c>
      <c r="C46" s="3" t="inlineStr">
        <is>
          <t>P2</t>
        </is>
      </c>
      <c r="D46" s="2" t="inlineStr">
        <is>
          <t>Jenny SMS booking (if testable)</t>
        </is>
      </c>
      <c r="E46" s="2" t="inlineStr">
        <is>
          <t>Trigger an SMS booking conversation</t>
        </is>
      </c>
      <c r="F46" s="2" t="inlineStr">
        <is>
          <t>Conversation logged; reasonable replies</t>
        </is>
      </c>
      <c r="G46" s="2" t="inlineStr">
        <is>
          <t>Manual</t>
        </is>
      </c>
      <c r="H46" s="3" t="inlineStr">
        <is>
          <t>Yes</t>
        </is>
      </c>
      <c r="I46" s="4" t="inlineStr"/>
      <c r="J46" s="4" t="inlineStr"/>
      <c r="K46" s="4" t="inlineStr"/>
      <c r="L46" s="5" t="inlineStr"/>
    </row>
    <row r="47">
      <c r="A47" s="2" t="inlineStr">
        <is>
          <t>G. Worker App (mobile)  (TC-WORK)  — test on a phone or mobile viewport</t>
        </is>
      </c>
      <c r="B47" s="3" t="inlineStr">
        <is>
          <t>TC-WORK-01</t>
        </is>
      </c>
      <c r="C47" s="3" t="inlineStr">
        <is>
          <t>P0</t>
        </is>
      </c>
      <c r="D47" s="2" t="inlineStr">
        <is>
          <t>Worker login</t>
        </is>
      </c>
      <c r="E47" s="2" t="inlineStr">
        <is>
          <t>`/worker/login` as a worker account</t>
        </is>
      </c>
      <c r="F47" s="2" t="inlineStr">
        <is>
          <t>Lands on worker home with assigned jobs</t>
        </is>
      </c>
      <c r="G47" s="6" t="inlineStr">
        <is>
          <t>Automated (CI) - via worker account secrets</t>
        </is>
      </c>
      <c r="H47" s="7" t="inlineStr">
        <is>
          <t>No</t>
        </is>
      </c>
      <c r="I47" s="4" t="inlineStr"/>
      <c r="J47" s="4" t="inlineStr"/>
      <c r="K47" s="4" t="inlineStr"/>
      <c r="L47" s="5" t="inlineStr"/>
    </row>
    <row r="48">
      <c r="A48" s="2" t="inlineStr">
        <is>
          <t>G. Worker App (mobile)  (TC-WORK)  — test on a phone or mobile viewport</t>
        </is>
      </c>
      <c r="B48" s="3" t="inlineStr">
        <is>
          <t>TC-WORK-02</t>
        </is>
      </c>
      <c r="C48" s="3" t="inlineStr">
        <is>
          <t>P0</t>
        </is>
      </c>
      <c r="D48" s="2" t="inlineStr">
        <is>
          <t>View today's jobs</t>
        </is>
      </c>
      <c r="E48" s="2" t="inlineStr">
        <is>
          <t>Worker home</t>
        </is>
      </c>
      <c r="F48" s="2" t="inlineStr">
        <is>
          <t>Only this worker's assigned jobs show, correct times (AM/PM)</t>
        </is>
      </c>
      <c r="G48" s="6" t="inlineStr">
        <is>
          <t>Automated (CI) - via worker account secrets</t>
        </is>
      </c>
      <c r="H48" s="7" t="inlineStr">
        <is>
          <t>No</t>
        </is>
      </c>
      <c r="I48" s="4" t="inlineStr"/>
      <c r="J48" s="4" t="inlineStr"/>
      <c r="K48" s="4" t="inlineStr"/>
      <c r="L48" s="5" t="inlineStr"/>
    </row>
    <row r="49">
      <c r="A49" s="2" t="inlineStr">
        <is>
          <t>G. Worker App (mobile)  (TC-WORK)  — test on a phone or mobile viewport</t>
        </is>
      </c>
      <c r="B49" s="3" t="inlineStr">
        <is>
          <t>TC-WORK-03</t>
        </is>
      </c>
      <c r="C49" s="3" t="inlineStr">
        <is>
          <t>P0</t>
        </is>
      </c>
      <c r="D49" s="2" t="inlineStr">
        <is>
          <t>"On my way" button</t>
        </is>
      </c>
      <c r="E49" s="2" t="inlineStr">
        <is>
          <t>Open a job → tap **On my way**</t>
        </is>
      </c>
      <c r="F49" s="2" t="inlineStr">
        <is>
          <t>Customer notified / live tracking starts; status updates</t>
        </is>
      </c>
      <c r="G49" s="2" t="inlineStr">
        <is>
          <t>Manual</t>
        </is>
      </c>
      <c r="H49" s="3" t="inlineStr">
        <is>
          <t>Yes</t>
        </is>
      </c>
      <c r="I49" s="4" t="inlineStr"/>
      <c r="J49" s="4" t="inlineStr"/>
      <c r="K49" s="4" t="inlineStr"/>
      <c r="L49" s="5" t="inlineStr"/>
    </row>
    <row r="50">
      <c r="A50" s="2" t="inlineStr">
        <is>
          <t>G. Worker App (mobile)  (TC-WORK)  — test on a phone or mobile viewport</t>
        </is>
      </c>
      <c r="B50" s="3" t="inlineStr">
        <is>
          <t>TC-WORK-04</t>
        </is>
      </c>
      <c r="C50" s="3" t="inlineStr">
        <is>
          <t>P0</t>
        </is>
      </c>
      <c r="D50" s="2" t="inlineStr">
        <is>
          <t>Clock in / out</t>
        </is>
      </c>
      <c r="E50" s="2" t="inlineStr">
        <is>
          <t>Use timeclock to clock in, then out</t>
        </is>
      </c>
      <c r="F50" s="2" t="inlineStr">
        <is>
          <t>Time entry recorded with correct duration</t>
        </is>
      </c>
      <c r="G50" s="6" t="inlineStr">
        <is>
          <t>Automated (CI) - via worker account secrets</t>
        </is>
      </c>
      <c r="H50" s="7" t="inlineStr">
        <is>
          <t>No</t>
        </is>
      </c>
      <c r="I50" s="4" t="inlineStr"/>
      <c r="J50" s="4" t="inlineStr"/>
      <c r="K50" s="4" t="inlineStr"/>
      <c r="L50" s="5" t="inlineStr"/>
    </row>
    <row r="51">
      <c r="A51" s="2" t="inlineStr">
        <is>
          <t>G. Worker App (mobile)  (TC-WORK)  — test on a phone or mobile viewport</t>
        </is>
      </c>
      <c r="B51" s="3" t="inlineStr">
        <is>
          <t>TC-WORK-05</t>
        </is>
      </c>
      <c r="C51" s="3" t="inlineStr">
        <is>
          <t>P1</t>
        </is>
      </c>
      <c r="D51" s="2" t="inlineStr">
        <is>
          <t>Breaks</t>
        </is>
      </c>
      <c r="E51" s="2" t="inlineStr">
        <is>
          <t>Start and end a break during a shift</t>
        </is>
      </c>
      <c r="F51" s="2" t="inlineStr">
        <is>
          <t>Break recorded (CA meal/rest compliance)</t>
        </is>
      </c>
      <c r="G51" s="2" t="inlineStr">
        <is>
          <t>Manual</t>
        </is>
      </c>
      <c r="H51" s="3" t="inlineStr">
        <is>
          <t>Yes</t>
        </is>
      </c>
      <c r="I51" s="4" t="inlineStr"/>
      <c r="J51" s="4" t="inlineStr"/>
      <c r="K51" s="4" t="inlineStr"/>
      <c r="L51" s="5" t="inlineStr"/>
    </row>
    <row r="52">
      <c r="A52" s="2" t="inlineStr">
        <is>
          <t>G. Worker App (mobile)  (TC-WORK)  — test on a phone or mobile viewport</t>
        </is>
      </c>
      <c r="B52" s="3" t="inlineStr">
        <is>
          <t>TC-WORK-06</t>
        </is>
      </c>
      <c r="C52" s="3" t="inlineStr">
        <is>
          <t>P1</t>
        </is>
      </c>
      <c r="D52" s="2" t="inlineStr">
        <is>
          <t>Job photos</t>
        </is>
      </c>
      <c r="E52" s="2" t="inlineStr">
        <is>
          <t>On a job, upload a photo</t>
        </is>
      </c>
      <c r="F52" s="2" t="inlineStr">
        <is>
          <t>Photo uploads and displays</t>
        </is>
      </c>
      <c r="G52" s="2" t="inlineStr">
        <is>
          <t>Manual</t>
        </is>
      </c>
      <c r="H52" s="3" t="inlineStr">
        <is>
          <t>Yes</t>
        </is>
      </c>
      <c r="I52" s="4" t="inlineStr"/>
      <c r="J52" s="4" t="inlineStr"/>
      <c r="K52" s="4" t="inlineStr"/>
      <c r="L52" s="5" t="inlineStr"/>
    </row>
    <row r="53">
      <c r="A53" s="2" t="inlineStr">
        <is>
          <t>G. Worker App (mobile)  (TC-WORK)  — test on a phone or mobile viewport</t>
        </is>
      </c>
      <c r="B53" s="3" t="inlineStr">
        <is>
          <t>TC-WORK-07</t>
        </is>
      </c>
      <c r="C53" s="3" t="inlineStr">
        <is>
          <t>P1</t>
        </is>
      </c>
      <c r="D53" s="2" t="inlineStr">
        <is>
          <t>Update job status</t>
        </is>
      </c>
      <c r="E53" s="2" t="inlineStr">
        <is>
          <t>Mark a job in progress / complete from the worker app</t>
        </is>
      </c>
      <c r="F53" s="2" t="inlineStr">
        <is>
          <t>Status syncs to the dashboard</t>
        </is>
      </c>
      <c r="G53" s="2" t="inlineStr">
        <is>
          <t>Manual</t>
        </is>
      </c>
      <c r="H53" s="3" t="inlineStr">
        <is>
          <t>Yes</t>
        </is>
      </c>
      <c r="I53" s="4" t="inlineStr"/>
      <c r="J53" s="4" t="inlineStr"/>
      <c r="K53" s="4" t="inlineStr"/>
      <c r="L53" s="5" t="inlineStr"/>
    </row>
    <row r="54">
      <c r="A54" s="2" t="inlineStr">
        <is>
          <t>G. Worker App (mobile)  (TC-WORK)  — test on a phone or mobile viewport</t>
        </is>
      </c>
      <c r="B54" s="3" t="inlineStr">
        <is>
          <t>TC-WORK-08</t>
        </is>
      </c>
      <c r="C54" s="3" t="inlineStr">
        <is>
          <t>P2</t>
        </is>
      </c>
      <c r="D54" s="2" t="inlineStr">
        <is>
          <t>Safety / incident report</t>
        </is>
      </c>
      <c r="E54" s="2" t="inlineStr">
        <is>
          <t>Submit an incident from `/worker/safety`</t>
        </is>
      </c>
      <c r="F54" s="2" t="inlineStr">
        <is>
          <t>Incident saved; visible to admin</t>
        </is>
      </c>
      <c r="G54" s="2" t="inlineStr">
        <is>
          <t>Manual</t>
        </is>
      </c>
      <c r="H54" s="3" t="inlineStr">
        <is>
          <t>Yes</t>
        </is>
      </c>
      <c r="I54" s="4" t="inlineStr"/>
      <c r="J54" s="4" t="inlineStr"/>
      <c r="K54" s="4" t="inlineStr"/>
      <c r="L54" s="5" t="inlineStr"/>
    </row>
    <row r="55">
      <c r="A55" s="2" t="inlineStr">
        <is>
          <t>G. Worker App (mobile)  (TC-WORK)  — test on a phone or mobile viewport</t>
        </is>
      </c>
      <c r="B55" s="3" t="inlineStr">
        <is>
          <t>TC-WORK-09</t>
        </is>
      </c>
      <c r="C55" s="3" t="inlineStr">
        <is>
          <t>P2</t>
        </is>
      </c>
      <c r="D55" s="2" t="inlineStr">
        <is>
          <t>Offline behavior</t>
        </is>
      </c>
      <c r="E55" s="2" t="inlineStr">
        <is>
          <t>Go offline, interact, come back online</t>
        </is>
      </c>
      <c r="F55" s="2" t="inlineStr">
        <is>
          <t>Graceful offline page; queued actions sync</t>
        </is>
      </c>
      <c r="G55" s="2" t="inlineStr">
        <is>
          <t>Manual</t>
        </is>
      </c>
      <c r="H55" s="3" t="inlineStr">
        <is>
          <t>Yes</t>
        </is>
      </c>
      <c r="I55" s="4" t="inlineStr"/>
      <c r="J55" s="4" t="inlineStr"/>
      <c r="K55" s="4" t="inlineStr"/>
      <c r="L55" s="5" t="inlineStr"/>
    </row>
    <row r="56">
      <c r="A56" s="2" t="inlineStr">
        <is>
          <t>H. Customer Portal  (TC-PORTAL)</t>
        </is>
      </c>
      <c r="B56" s="3" t="inlineStr">
        <is>
          <t>TC-PORTAL-01</t>
        </is>
      </c>
      <c r="C56" s="3" t="inlineStr">
        <is>
          <t>P1</t>
        </is>
      </c>
      <c r="D56" s="2" t="inlineStr">
        <is>
          <t>Portal login (magic link)</t>
        </is>
      </c>
      <c r="E56" s="2" t="inlineStr">
        <is>
          <t>`/portal/login` with a customer email</t>
        </is>
      </c>
      <c r="F56" s="2" t="inlineStr">
        <is>
          <t>Magic link / token grants access</t>
        </is>
      </c>
      <c r="G56" s="2" t="inlineStr">
        <is>
          <t>Manual</t>
        </is>
      </c>
      <c r="H56" s="3" t="inlineStr">
        <is>
          <t>Yes</t>
        </is>
      </c>
      <c r="I56" s="4" t="inlineStr"/>
      <c r="J56" s="4" t="inlineStr"/>
      <c r="K56" s="4" t="inlineStr"/>
      <c r="L56" s="5" t="inlineStr"/>
    </row>
    <row r="57">
      <c r="A57" s="2" t="inlineStr">
        <is>
          <t>H. Customer Portal  (TC-PORTAL)</t>
        </is>
      </c>
      <c r="B57" s="3" t="inlineStr">
        <is>
          <t>TC-PORTAL-02</t>
        </is>
      </c>
      <c r="C57" s="3" t="inlineStr">
        <is>
          <t>P1</t>
        </is>
      </c>
      <c r="D57" s="2" t="inlineStr">
        <is>
          <t>View appointments</t>
        </is>
      </c>
      <c r="E57" s="2" t="inlineStr">
        <is>
          <t>Portal → Appointments</t>
        </is>
      </c>
      <c r="F57" s="2" t="inlineStr">
        <is>
          <t>Customer's jobs/appointments listed</t>
        </is>
      </c>
      <c r="G57" s="2" t="inlineStr">
        <is>
          <t>Manual</t>
        </is>
      </c>
      <c r="H57" s="3" t="inlineStr">
        <is>
          <t>Yes</t>
        </is>
      </c>
      <c r="I57" s="4" t="inlineStr"/>
      <c r="J57" s="4" t="inlineStr"/>
      <c r="K57" s="4" t="inlineStr"/>
      <c r="L57" s="5" t="inlineStr"/>
    </row>
    <row r="58">
      <c r="A58" s="2" t="inlineStr">
        <is>
          <t>H. Customer Portal  (TC-PORTAL)</t>
        </is>
      </c>
      <c r="B58" s="3" t="inlineStr">
        <is>
          <t>TC-PORTAL-03</t>
        </is>
      </c>
      <c r="C58" s="3" t="inlineStr">
        <is>
          <t>P1</t>
        </is>
      </c>
      <c r="D58" s="2" t="inlineStr">
        <is>
          <t>View invoices</t>
        </is>
      </c>
      <c r="E58" s="2" t="inlineStr">
        <is>
          <t>Portal → Invoices</t>
        </is>
      </c>
      <c r="F58" s="2" t="inlineStr">
        <is>
          <t>Invoices listed; can open/pay</t>
        </is>
      </c>
      <c r="G58" s="2" t="inlineStr">
        <is>
          <t>Manual</t>
        </is>
      </c>
      <c r="H58" s="3" t="inlineStr">
        <is>
          <t>Yes</t>
        </is>
      </c>
      <c r="I58" s="4" t="inlineStr"/>
      <c r="J58" s="4" t="inlineStr"/>
      <c r="K58" s="4" t="inlineStr"/>
      <c r="L58" s="5" t="inlineStr"/>
    </row>
    <row r="59">
      <c r="A59" s="2" t="inlineStr">
        <is>
          <t>H. Customer Portal  (TC-PORTAL)</t>
        </is>
      </c>
      <c r="B59" s="3" t="inlineStr">
        <is>
          <t>TC-PORTAL-04</t>
        </is>
      </c>
      <c r="C59" s="3" t="inlineStr">
        <is>
          <t>P1</t>
        </is>
      </c>
      <c r="D59" s="2" t="inlineStr">
        <is>
          <t>Messages</t>
        </is>
      </c>
      <c r="E59" s="2" t="inlineStr">
        <is>
          <t>Portal → Messages; send a message</t>
        </is>
      </c>
      <c r="F59" s="2" t="inlineStr">
        <is>
          <t>Message thread works both directions</t>
        </is>
      </c>
      <c r="G59" s="2" t="inlineStr">
        <is>
          <t>Manual</t>
        </is>
      </c>
      <c r="H59" s="3" t="inlineStr">
        <is>
          <t>Yes</t>
        </is>
      </c>
      <c r="I59" s="4" t="inlineStr"/>
      <c r="J59" s="4" t="inlineStr"/>
      <c r="K59" s="4" t="inlineStr"/>
      <c r="L59" s="5" t="inlineStr"/>
    </row>
    <row r="60">
      <c r="A60" s="2" t="inlineStr">
        <is>
          <t>H. Customer Portal  (TC-PORTAL)</t>
        </is>
      </c>
      <c r="B60" s="3" t="inlineStr">
        <is>
          <t>TC-PORTAL-05</t>
        </is>
      </c>
      <c r="C60" s="3" t="inlineStr">
        <is>
          <t>P2</t>
        </is>
      </c>
      <c r="D60" s="2" t="inlineStr">
        <is>
          <t>Documents</t>
        </is>
      </c>
      <c r="E60" s="2" t="inlineStr">
        <is>
          <t>Portal → Documents</t>
        </is>
      </c>
      <c r="F60" s="2" t="inlineStr">
        <is>
          <t>Contracts/warranties/receipts visible</t>
        </is>
      </c>
      <c r="G60" s="2" t="inlineStr">
        <is>
          <t>Manual</t>
        </is>
      </c>
      <c r="H60" s="3" t="inlineStr">
        <is>
          <t>Yes</t>
        </is>
      </c>
      <c r="I60" s="4" t="inlineStr"/>
      <c r="J60" s="4" t="inlineStr"/>
      <c r="K60" s="4" t="inlineStr"/>
      <c r="L60" s="5" t="inlineStr"/>
    </row>
    <row r="61">
      <c r="A61" s="2" t="inlineStr">
        <is>
          <t>H. Customer Portal  (TC-PORTAL)</t>
        </is>
      </c>
      <c r="B61" s="3" t="inlineStr">
        <is>
          <t>TC-PORTAL-06</t>
        </is>
      </c>
      <c r="C61" s="3" t="inlineStr">
        <is>
          <t>P2</t>
        </is>
      </c>
      <c r="D61" s="2" t="inlineStr">
        <is>
          <t>Photos</t>
        </is>
      </c>
      <c r="E61" s="2" t="inlineStr">
        <is>
          <t>Portal → Photos</t>
        </is>
      </c>
      <c r="F61" s="2" t="inlineStr">
        <is>
          <t>Job photos display</t>
        </is>
      </c>
      <c r="G61" s="2" t="inlineStr">
        <is>
          <t>Manual</t>
        </is>
      </c>
      <c r="H61" s="3" t="inlineStr">
        <is>
          <t>Yes</t>
        </is>
      </c>
      <c r="I61" s="4" t="inlineStr"/>
      <c r="J61" s="4" t="inlineStr"/>
      <c r="K61" s="4" t="inlineStr"/>
      <c r="L61" s="5" t="inlineStr"/>
    </row>
    <row r="62">
      <c r="A62" s="2" t="inlineStr">
        <is>
          <t>H. Customer Portal  (TC-PORTAL)</t>
        </is>
      </c>
      <c r="B62" s="3" t="inlineStr">
        <is>
          <t>TC-PORTAL-07</t>
        </is>
      </c>
      <c r="C62" s="3" t="inlineStr">
        <is>
          <t>P2</t>
        </is>
      </c>
      <c r="D62" s="2" t="inlineStr">
        <is>
          <t>Reschedule request</t>
        </is>
      </c>
      <c r="E62" s="2" t="inlineStr">
        <is>
          <t>Request a reschedule from the portal</t>
        </is>
      </c>
      <c r="F62" s="2" t="inlineStr">
        <is>
          <t>Request reaches the business; status pending</t>
        </is>
      </c>
      <c r="G62" s="2" t="inlineStr">
        <is>
          <t>Manual</t>
        </is>
      </c>
      <c r="H62" s="3" t="inlineStr">
        <is>
          <t>Yes</t>
        </is>
      </c>
      <c r="I62" s="4" t="inlineStr"/>
      <c r="J62" s="4" t="inlineStr"/>
      <c r="K62" s="4" t="inlineStr"/>
      <c r="L62" s="5" t="inlineStr"/>
    </row>
    <row r="63">
      <c r="A63" s="2" t="inlineStr">
        <is>
          <t>H. Customer Portal  (TC-PORTAL)</t>
        </is>
      </c>
      <c r="B63" s="3" t="inlineStr">
        <is>
          <t>TC-PORTAL-08</t>
        </is>
      </c>
      <c r="C63" s="3" t="inlineStr">
        <is>
          <t>P2</t>
        </is>
      </c>
      <c r="D63" s="2" t="inlineStr">
        <is>
          <t>Live tracker</t>
        </is>
      </c>
      <c r="E63" s="2" t="inlineStr">
        <is>
          <t>Open `/track/[token]` while a tech is en route</t>
        </is>
      </c>
      <c r="F63" s="2" t="inlineStr">
        <is>
          <t>Tracker page loads / shows status</t>
        </is>
      </c>
      <c r="G63" s="2" t="inlineStr">
        <is>
          <t>Manual</t>
        </is>
      </c>
      <c r="H63" s="3" t="inlineStr">
        <is>
          <t>Yes</t>
        </is>
      </c>
      <c r="I63" s="4" t="inlineStr"/>
      <c r="J63" s="4" t="inlineStr"/>
      <c r="K63" s="4" t="inlineStr"/>
      <c r="L63" s="5" t="inlineStr"/>
    </row>
    <row r="64">
      <c r="A64" s="2" t="inlineStr">
        <is>
          <t>I. Team &amp; Workforce  (TC-TEAM)</t>
        </is>
      </c>
      <c r="B64" s="3" t="inlineStr">
        <is>
          <t>TC-TEAM-01</t>
        </is>
      </c>
      <c r="C64" s="3" t="inlineStr">
        <is>
          <t>P1</t>
        </is>
      </c>
      <c r="D64" s="2" t="inlineStr">
        <is>
          <t>Add worker</t>
        </is>
      </c>
      <c r="E64" s="2" t="inlineStr">
        <is>
          <t>Add a team member via Supabase/invite per setup doc</t>
        </is>
      </c>
      <c r="F64" s="2" t="inlineStr">
        <is>
          <t>Worker can log into the worker app</t>
        </is>
      </c>
      <c r="G64" s="2" t="inlineStr">
        <is>
          <t>Manual</t>
        </is>
      </c>
      <c r="H64" s="3" t="inlineStr">
        <is>
          <t>Yes</t>
        </is>
      </c>
      <c r="I64" s="4" t="inlineStr"/>
      <c r="J64" s="4" t="inlineStr"/>
      <c r="K64" s="4" t="inlineStr"/>
      <c r="L64" s="5" t="inlineStr"/>
    </row>
    <row r="65">
      <c r="A65" s="2" t="inlineStr">
        <is>
          <t>I. Team &amp; Workforce  (TC-TEAM)</t>
        </is>
      </c>
      <c r="B65" s="3" t="inlineStr">
        <is>
          <t>TC-TEAM-02</t>
        </is>
      </c>
      <c r="C65" s="3" t="inlineStr">
        <is>
          <t>P1</t>
        </is>
      </c>
      <c r="D65" s="2" t="inlineStr">
        <is>
          <t>Time logs review</t>
        </is>
      </c>
      <c r="E65" s="2" t="inlineStr">
        <is>
          <t>Dashboard → Time Logs</t>
        </is>
      </c>
      <c r="F65" s="2" t="inlineStr">
        <is>
          <t>Worker clock-ins/outs and breaks appear</t>
        </is>
      </c>
      <c r="G65" s="2" t="inlineStr">
        <is>
          <t>Manual</t>
        </is>
      </c>
      <c r="H65" s="3" t="inlineStr">
        <is>
          <t>Yes</t>
        </is>
      </c>
      <c r="I65" s="4" t="inlineStr"/>
      <c r="J65" s="4" t="inlineStr"/>
      <c r="K65" s="4" t="inlineStr"/>
      <c r="L65" s="5" t="inlineStr"/>
    </row>
    <row r="66">
      <c r="A66" s="2" t="inlineStr">
        <is>
          <t>I. Team &amp; Workforce  (TC-TEAM)</t>
        </is>
      </c>
      <c r="B66" s="3" t="inlineStr">
        <is>
          <t>TC-TEAM-03</t>
        </is>
      </c>
      <c r="C66" s="3" t="inlineStr">
        <is>
          <t>P2</t>
        </is>
      </c>
      <c r="D66" s="2" t="inlineStr">
        <is>
          <t>Worker classification (W-2 / 1099)</t>
        </is>
      </c>
      <c r="E66" s="2" t="inlineStr">
        <is>
          <t>Open Workforce; set a worker's classification</t>
        </is>
      </c>
      <c r="F66" s="2" t="inlineStr">
        <is>
          <t>Saves; compliance guardrails behave</t>
        </is>
      </c>
      <c r="G66" s="2" t="inlineStr">
        <is>
          <t>Manual</t>
        </is>
      </c>
      <c r="H66" s="3" t="inlineStr">
        <is>
          <t>Yes</t>
        </is>
      </c>
      <c r="I66" s="4" t="inlineStr"/>
      <c r="J66" s="4" t="inlineStr"/>
      <c r="K66" s="4" t="inlineStr"/>
      <c r="L66" s="5" t="inlineStr"/>
    </row>
    <row r="67">
      <c r="A67" s="2" t="inlineStr">
        <is>
          <t>I. Team &amp; Workforce  (TC-TEAM)</t>
        </is>
      </c>
      <c r="B67" s="3" t="inlineStr">
        <is>
          <t>TC-TEAM-04</t>
        </is>
      </c>
      <c r="C67" s="3" t="inlineStr">
        <is>
          <t>P2</t>
        </is>
      </c>
      <c r="D67" s="2" t="inlineStr">
        <is>
          <t>HR toolkit</t>
        </is>
      </c>
      <c r="E67" s="2" t="inlineStr">
        <is>
          <t>Open HR Toolkit</t>
        </is>
      </c>
      <c r="F67" s="2" t="inlineStr">
        <is>
          <t>Resources/docs load</t>
        </is>
      </c>
      <c r="G67" s="2" t="inlineStr">
        <is>
          <t>Manual</t>
        </is>
      </c>
      <c r="H67" s="3" t="inlineStr">
        <is>
          <t>Yes</t>
        </is>
      </c>
      <c r="I67" s="4" t="inlineStr"/>
      <c r="J67" s="4" t="inlineStr"/>
      <c r="K67" s="4" t="inlineStr"/>
      <c r="L67" s="5" t="inlineStr"/>
    </row>
    <row r="68">
      <c r="A68" s="2" t="inlineStr">
        <is>
          <t>J. Add-ons &amp; Modules  (TC-ADDON)</t>
        </is>
      </c>
      <c r="B68" s="3" t="inlineStr">
        <is>
          <t>TC-ADDON-01</t>
        </is>
      </c>
      <c r="C68" s="3" t="inlineStr">
        <is>
          <t>P1</t>
        </is>
      </c>
      <c r="D68" s="2" t="inlineStr">
        <is>
          <t>Website Builder</t>
        </is>
      </c>
      <c r="E68" s="2" t="inlineStr">
        <is>
          <t>Dashboard → Website Builder; run the wizard; publish</t>
        </is>
      </c>
      <c r="F68" s="2" t="inlineStr">
        <is>
          <t>Site generates; public `/site/[slug]` renders</t>
        </is>
      </c>
      <c r="G68" s="2" t="inlineStr">
        <is>
          <t>Manual</t>
        </is>
      </c>
      <c r="H68" s="3" t="inlineStr">
        <is>
          <t>Yes</t>
        </is>
      </c>
      <c r="I68" s="4" t="inlineStr"/>
      <c r="J68" s="4" t="inlineStr"/>
      <c r="K68" s="4" t="inlineStr"/>
      <c r="L68" s="5" t="inlineStr"/>
    </row>
    <row r="69">
      <c r="A69" s="2" t="inlineStr">
        <is>
          <t>J. Add-ons &amp; Modules  (TC-ADDON)</t>
        </is>
      </c>
      <c r="B69" s="3" t="inlineStr">
        <is>
          <t>TC-ADDON-02</t>
        </is>
      </c>
      <c r="C69" s="3" t="inlineStr">
        <is>
          <t>P1</t>
        </is>
      </c>
      <c r="D69" s="2" t="inlineStr">
        <is>
          <t>Compliance / Shield</t>
        </is>
      </c>
      <c r="E69" s="2" t="inlineStr">
        <is>
          <t>Open Compliance; review alerts</t>
        </is>
      </c>
      <c r="F69" s="2" t="inlineStr">
        <is>
          <t>Compliance items/alerts display</t>
        </is>
      </c>
      <c r="G69" s="2" t="inlineStr">
        <is>
          <t>Manual</t>
        </is>
      </c>
      <c r="H69" s="3" t="inlineStr">
        <is>
          <t>Yes</t>
        </is>
      </c>
      <c r="I69" s="4" t="inlineStr"/>
      <c r="J69" s="4" t="inlineStr"/>
      <c r="K69" s="4" t="inlineStr"/>
      <c r="L69" s="5" t="inlineStr"/>
    </row>
    <row r="70">
      <c r="A70" s="2" t="inlineStr">
        <is>
          <t>J. Add-ons &amp; Modules  (TC-ADDON)</t>
        </is>
      </c>
      <c r="B70" s="3" t="inlineStr">
        <is>
          <t>TC-ADDON-03</t>
        </is>
      </c>
      <c r="C70" s="3" t="inlineStr">
        <is>
          <t>P2</t>
        </is>
      </c>
      <c r="D70" s="2" t="inlineStr">
        <is>
          <t>Reviews</t>
        </is>
      </c>
      <c r="E70" s="2" t="inlineStr">
        <is>
          <t>Dashboard → Reviews; send a review request</t>
        </is>
      </c>
      <c r="F70" s="2" t="inlineStr">
        <is>
          <t>Request generates without error</t>
        </is>
      </c>
      <c r="G70" s="2" t="inlineStr">
        <is>
          <t>Manual</t>
        </is>
      </c>
      <c r="H70" s="3" t="inlineStr">
        <is>
          <t>Yes</t>
        </is>
      </c>
      <c r="I70" s="4" t="inlineStr"/>
      <c r="J70" s="4" t="inlineStr"/>
      <c r="K70" s="4" t="inlineStr"/>
      <c r="L70" s="5" t="inlineStr"/>
    </row>
    <row r="71">
      <c r="A71" s="2" t="inlineStr">
        <is>
          <t>J. Add-ons &amp; Modules  (TC-ADDON)</t>
        </is>
      </c>
      <c r="B71" s="3" t="inlineStr">
        <is>
          <t>TC-ADDON-04</t>
        </is>
      </c>
      <c r="C71" s="3" t="inlineStr">
        <is>
          <t>P2</t>
        </is>
      </c>
      <c r="D71" s="2" t="inlineStr">
        <is>
          <t>Reports</t>
        </is>
      </c>
      <c r="E71" s="2" t="inlineStr">
        <is>
          <t>Dashboard → Reports</t>
        </is>
      </c>
      <c r="F71" s="2" t="inlineStr">
        <is>
          <t>Charts/metrics render with seeded data</t>
        </is>
      </c>
      <c r="G71" s="2" t="inlineStr">
        <is>
          <t>Manual</t>
        </is>
      </c>
      <c r="H71" s="3" t="inlineStr">
        <is>
          <t>Yes</t>
        </is>
      </c>
      <c r="I71" s="4" t="inlineStr"/>
      <c r="J71" s="4" t="inlineStr"/>
      <c r="K71" s="4" t="inlineStr"/>
      <c r="L71" s="5" t="inlineStr"/>
    </row>
    <row r="72">
      <c r="A72" s="2" t="inlineStr">
        <is>
          <t>J. Add-ons &amp; Modules  (TC-ADDON)</t>
        </is>
      </c>
      <c r="B72" s="3" t="inlineStr">
        <is>
          <t>TC-ADDON-05</t>
        </is>
      </c>
      <c r="C72" s="3" t="inlineStr">
        <is>
          <t>P2</t>
        </is>
      </c>
      <c r="D72" s="2" t="inlineStr">
        <is>
          <t>QuickBooks sync (sandbox)</t>
        </is>
      </c>
      <c r="E72" s="2" t="inlineStr">
        <is>
          <t>Settings → QuickBooks; connect (sandbox QBO)</t>
        </is>
      </c>
      <c r="F72" s="2" t="inlineStr">
        <is>
          <t>OAuth completes; sync status shown</t>
        </is>
      </c>
      <c r="G72" s="2" t="inlineStr">
        <is>
          <t>Manual</t>
        </is>
      </c>
      <c r="H72" s="3" t="inlineStr">
        <is>
          <t>Yes</t>
        </is>
      </c>
      <c r="I72" s="4" t="inlineStr"/>
      <c r="J72" s="4" t="inlineStr"/>
      <c r="K72" s="4" t="inlineStr"/>
      <c r="L72" s="5" t="inlineStr"/>
    </row>
    <row r="73">
      <c r="A73" s="2" t="inlineStr">
        <is>
          <t>K. Billing &amp; Subscription  (TC-BILL)  — Stripe test mode</t>
        </is>
      </c>
      <c r="B73" s="3" t="inlineStr">
        <is>
          <t>TC-BILL-01</t>
        </is>
      </c>
      <c r="C73" s="3" t="inlineStr">
        <is>
          <t>P0</t>
        </is>
      </c>
      <c r="D73" s="2" t="inlineStr">
        <is>
          <t>Plan checkout</t>
        </is>
      </c>
      <c r="E73" s="2" t="inlineStr">
        <is>
          <t>Pricing/upgrade → pick a plan → pay with `4242…`</t>
        </is>
      </c>
      <c r="F73" s="2" t="inlineStr">
        <is>
          <t>Subscription activates; plan reflected in app</t>
        </is>
      </c>
      <c r="G73" s="2" t="inlineStr">
        <is>
          <t>Manual</t>
        </is>
      </c>
      <c r="H73" s="3" t="inlineStr">
        <is>
          <t>Yes</t>
        </is>
      </c>
      <c r="I73" s="4" t="inlineStr"/>
      <c r="J73" s="4" t="inlineStr"/>
      <c r="K73" s="4" t="inlineStr"/>
      <c r="L73" s="5" t="inlineStr"/>
    </row>
    <row r="74">
      <c r="A74" s="2" t="inlineStr">
        <is>
          <t>K. Billing &amp; Subscription  (TC-BILL)  — Stripe test mode</t>
        </is>
      </c>
      <c r="B74" s="3" t="inlineStr">
        <is>
          <t>TC-BILL-02</t>
        </is>
      </c>
      <c r="C74" s="3" t="inlineStr">
        <is>
          <t>P1</t>
        </is>
      </c>
      <c r="D74" s="2" t="inlineStr">
        <is>
          <t>Each plan tier</t>
        </is>
      </c>
      <c r="E74" s="2" t="inlineStr">
        <is>
          <t>Repeat for Starter / Pro / Elite / Booking Only / Invoicing Only</t>
        </is>
      </c>
      <c r="F74" s="2" t="inlineStr">
        <is>
          <t>Each checkout completes; correct features unlock</t>
        </is>
      </c>
      <c r="G74" s="2" t="inlineStr">
        <is>
          <t>Manual</t>
        </is>
      </c>
      <c r="H74" s="3" t="inlineStr">
        <is>
          <t>Yes</t>
        </is>
      </c>
      <c r="I74" s="4" t="inlineStr"/>
      <c r="J74" s="4" t="inlineStr"/>
      <c r="K74" s="4" t="inlineStr"/>
      <c r="L74" s="5" t="inlineStr"/>
    </row>
    <row r="75">
      <c r="A75" s="2" t="inlineStr">
        <is>
          <t>K. Billing &amp; Subscription  (TC-BILL)  — Stripe test mode</t>
        </is>
      </c>
      <c r="B75" s="3" t="inlineStr">
        <is>
          <t>TC-BILL-03</t>
        </is>
      </c>
      <c r="C75" s="3" t="inlineStr">
        <is>
          <t>P1</t>
        </is>
      </c>
      <c r="D75" s="2" t="inlineStr">
        <is>
          <t>Add-on purchase</t>
        </is>
      </c>
      <c r="E75" s="2" t="inlineStr">
        <is>
          <t>Buy an add-on (Website Builder, Portal Pro, QuickBooks Sync, Extra Worker, etc.)</t>
        </is>
      </c>
      <c r="F75" s="2" t="inlineStr">
        <is>
          <t>Add-on activates</t>
        </is>
      </c>
      <c r="G75" s="2" t="inlineStr">
        <is>
          <t>Manual</t>
        </is>
      </c>
      <c r="H75" s="3" t="inlineStr">
        <is>
          <t>Yes</t>
        </is>
      </c>
      <c r="I75" s="4" t="inlineStr"/>
      <c r="J75" s="4" t="inlineStr"/>
      <c r="K75" s="4" t="inlineStr"/>
      <c r="L75" s="5" t="inlineStr"/>
    </row>
    <row r="76">
      <c r="A76" s="2" t="inlineStr">
        <is>
          <t>K. Billing &amp; Subscription  (TC-BILL)  — Stripe test mode</t>
        </is>
      </c>
      <c r="B76" s="3" t="inlineStr">
        <is>
          <t>TC-BILL-04</t>
        </is>
      </c>
      <c r="C76" s="3" t="inlineStr">
        <is>
          <t>P1</t>
        </is>
      </c>
      <c r="D76" s="2" t="inlineStr">
        <is>
          <t>Setup service</t>
        </is>
      </c>
      <c r="E76" s="2" t="inlineStr">
        <is>
          <t>Purchase Assisted Onboarding / White Glove</t>
        </is>
      </c>
      <c r="F76" s="2" t="inlineStr">
        <is>
          <t>Order recorded</t>
        </is>
      </c>
      <c r="G76" s="2" t="inlineStr">
        <is>
          <t>Manual</t>
        </is>
      </c>
      <c r="H76" s="3" t="inlineStr">
        <is>
          <t>Yes</t>
        </is>
      </c>
      <c r="I76" s="4" t="inlineStr"/>
      <c r="J76" s="4" t="inlineStr"/>
      <c r="K76" s="4" t="inlineStr"/>
      <c r="L76" s="5" t="inlineStr"/>
    </row>
    <row r="77">
      <c r="A77" s="2" t="inlineStr">
        <is>
          <t>K. Billing &amp; Subscription  (TC-BILL)  — Stripe test mode</t>
        </is>
      </c>
      <c r="B77" s="3" t="inlineStr">
        <is>
          <t>TC-BILL-05</t>
        </is>
      </c>
      <c r="C77" s="3" t="inlineStr">
        <is>
          <t>P2</t>
        </is>
      </c>
      <c r="D77" s="2" t="inlineStr">
        <is>
          <t>Declined checkout</t>
        </is>
      </c>
      <c r="E77" s="2" t="inlineStr">
        <is>
          <t>Use decline card `4000…0002` at checkout</t>
        </is>
      </c>
      <c r="F77" s="2" t="inlineStr">
        <is>
          <t>Failure handled; no subscription created</t>
        </is>
      </c>
      <c r="G77" s="2" t="inlineStr">
        <is>
          <t>Manual</t>
        </is>
      </c>
      <c r="H77" s="3" t="inlineStr">
        <is>
          <t>Yes</t>
        </is>
      </c>
      <c r="I77" s="4" t="inlineStr"/>
      <c r="J77" s="4" t="inlineStr"/>
      <c r="K77" s="4" t="inlineStr"/>
      <c r="L77" s="5" t="inlineStr"/>
    </row>
    <row r="78">
      <c r="A78" s="2" t="inlineStr">
        <is>
          <t>K. Billing &amp; Subscription  (TC-BILL)  — Stripe test mode</t>
        </is>
      </c>
      <c r="B78" s="3" t="inlineStr">
        <is>
          <t>TC-BILL-06</t>
        </is>
      </c>
      <c r="C78" s="3" t="inlineStr">
        <is>
          <t>P2</t>
        </is>
      </c>
      <c r="D78" s="2" t="inlineStr">
        <is>
          <t>Webhook sync</t>
        </is>
      </c>
      <c r="E78" s="2" t="inlineStr">
        <is>
          <t>After a successful checkout, refresh the app</t>
        </is>
      </c>
      <c r="F78" s="2" t="inlineStr">
        <is>
          <t>Subscription/plan state reflects the purchase (webhook applied)</t>
        </is>
      </c>
      <c r="G78" s="2" t="inlineStr">
        <is>
          <t>Manual</t>
        </is>
      </c>
      <c r="H78" s="3" t="inlineStr">
        <is>
          <t>Yes</t>
        </is>
      </c>
      <c r="I78" s="4" t="inlineStr"/>
      <c r="J78" s="4" t="inlineStr"/>
      <c r="K78" s="4" t="inlineStr"/>
      <c r="L78" s="5" t="inlineStr"/>
    </row>
    <row r="79">
      <c r="A79" s="2" t="inlineStr">
        <is>
          <t>L. Cross-Cutting  (TC-X)</t>
        </is>
      </c>
      <c r="B79" s="3" t="inlineStr">
        <is>
          <t>TC-X-01</t>
        </is>
      </c>
      <c r="C79" s="3" t="inlineStr">
        <is>
          <t>P0</t>
        </is>
      </c>
      <c r="D79" s="2" t="inlineStr">
        <is>
          <t>Multi-tenant isolation</t>
        </is>
      </c>
      <c r="E79" s="2" t="inlineStr">
        <is>
          <t>Create a 2nd company; confirm it can't see the 1st's data</t>
        </is>
      </c>
      <c r="F79" s="2" t="inlineStr">
        <is>
          <t>No cross-company data leakage (RLS)</t>
        </is>
      </c>
      <c r="G79" s="6" t="inlineStr">
        <is>
          <t>Automated (CI) - via 2nd company secrets</t>
        </is>
      </c>
      <c r="H79" s="7" t="inlineStr">
        <is>
          <t>No</t>
        </is>
      </c>
      <c r="I79" s="4" t="inlineStr"/>
      <c r="J79" s="4" t="inlineStr"/>
      <c r="K79" s="4" t="inlineStr"/>
      <c r="L79" s="5" t="inlineStr"/>
    </row>
    <row r="80">
      <c r="A80" s="2" t="inlineStr">
        <is>
          <t>L. Cross-Cutting  (TC-X)</t>
        </is>
      </c>
      <c r="B80" s="3" t="inlineStr">
        <is>
          <t>TC-X-02</t>
        </is>
      </c>
      <c r="C80" s="3" t="inlineStr">
        <is>
          <t>P1</t>
        </is>
      </c>
      <c r="D80" s="2" t="inlineStr">
        <is>
          <t>Mobile responsiveness</t>
        </is>
      </c>
      <c r="E80" s="2" t="inlineStr">
        <is>
          <t>Open dashboard + worker app on a phone</t>
        </is>
      </c>
      <c r="F80" s="2" t="inlineStr">
        <is>
          <t>Layout usable; nothing broken/cut off</t>
        </is>
      </c>
      <c r="G80" s="2" t="inlineStr">
        <is>
          <t>Manual</t>
        </is>
      </c>
      <c r="H80" s="3" t="inlineStr">
        <is>
          <t>Yes</t>
        </is>
      </c>
      <c r="I80" s="4" t="inlineStr"/>
      <c r="J80" s="4" t="inlineStr"/>
      <c r="K80" s="4" t="inlineStr"/>
      <c r="L80" s="5" t="inlineStr"/>
    </row>
    <row r="81">
      <c r="A81" s="2" t="inlineStr">
        <is>
          <t>L. Cross-Cutting  (TC-X)</t>
        </is>
      </c>
      <c r="B81" s="3" t="inlineStr">
        <is>
          <t>TC-X-03</t>
        </is>
      </c>
      <c r="C81" s="3" t="inlineStr">
        <is>
          <t>P1</t>
        </is>
      </c>
      <c r="D81" s="2" t="inlineStr">
        <is>
          <t>Public marketing pages</t>
        </is>
      </c>
      <c r="E81" s="2" t="inlineStr">
        <is>
          <t>Visit `/`, `/pricing`, `/jenny`, `/tools/*`, `/compare/*`</t>
        </is>
      </c>
      <c r="F81" s="2" t="inlineStr">
        <is>
          <t>All load, no console errors</t>
        </is>
      </c>
      <c r="G81" s="2" t="inlineStr">
        <is>
          <t>Manual</t>
        </is>
      </c>
      <c r="H81" s="3" t="inlineStr">
        <is>
          <t>Yes</t>
        </is>
      </c>
      <c r="I81" s="4" t="inlineStr"/>
      <c r="J81" s="4" t="inlineStr"/>
      <c r="K81" s="4" t="inlineStr"/>
      <c r="L81" s="5" t="inlineStr"/>
    </row>
    <row r="82">
      <c r="A82" s="2" t="inlineStr">
        <is>
          <t>L. Cross-Cutting  (TC-X)</t>
        </is>
      </c>
      <c r="B82" s="3" t="inlineStr">
        <is>
          <t>TC-X-04</t>
        </is>
      </c>
      <c r="C82" s="3" t="inlineStr">
        <is>
          <t>P1</t>
        </is>
      </c>
      <c r="D82" s="2" t="inlineStr">
        <is>
          <t>Email &amp; SMS fire</t>
        </is>
      </c>
      <c r="E82" s="2" t="inlineStr">
        <is>
          <t>Trigger booking confirmation / invoice / review request</t>
        </is>
      </c>
      <c r="F82" s="2" t="inlineStr">
        <is>
          <t>Email (Resend) and SMS (Twilio test) send</t>
        </is>
      </c>
      <c r="G82" s="2" t="inlineStr">
        <is>
          <t>Manual</t>
        </is>
      </c>
      <c r="H82" s="3" t="inlineStr">
        <is>
          <t>Yes</t>
        </is>
      </c>
      <c r="I82" s="4" t="inlineStr"/>
      <c r="J82" s="4" t="inlineStr"/>
      <c r="K82" s="4" t="inlineStr"/>
      <c r="L82" s="5" t="inlineStr"/>
    </row>
    <row r="83">
      <c r="A83" s="2" t="inlineStr">
        <is>
          <t>L. Cross-Cutting  (TC-X)</t>
        </is>
      </c>
      <c r="B83" s="3" t="inlineStr">
        <is>
          <t>TC-X-05</t>
        </is>
      </c>
      <c r="C83" s="3" t="inlineStr">
        <is>
          <t>P2</t>
        </is>
      </c>
      <c r="D83" s="2" t="inlineStr">
        <is>
          <t>Error states</t>
        </is>
      </c>
      <c r="E83" s="2" t="inlineStr">
        <is>
          <t>Open a bad URL: `/quote/doesnotexist`, expired session</t>
        </is>
      </c>
      <c r="F83" s="2" t="inlineStr">
        <is>
          <t>Friendly error, no white-screen crash</t>
        </is>
      </c>
      <c r="G83" s="2" t="inlineStr">
        <is>
          <t>Manual</t>
        </is>
      </c>
      <c r="H83" s="3" t="inlineStr">
        <is>
          <t>Yes</t>
        </is>
      </c>
      <c r="I83" s="4" t="inlineStr"/>
      <c r="J83" s="4" t="inlineStr"/>
      <c r="K83" s="4" t="inlineStr"/>
      <c r="L83" s="5" t="inlineStr"/>
    </row>
    <row r="84">
      <c r="A84" s="2" t="inlineStr">
        <is>
          <t>L. Cross-Cutting  (TC-X)</t>
        </is>
      </c>
      <c r="B84" s="3" t="inlineStr">
        <is>
          <t>TC-X-06</t>
        </is>
      </c>
      <c r="C84" s="3" t="inlineStr">
        <is>
          <t>P2</t>
        </is>
      </c>
      <c r="D84" s="2" t="inlineStr">
        <is>
          <t>Browser matrix</t>
        </is>
      </c>
      <c r="E84" s="2" t="inlineStr">
        <is>
          <t>Spot-check Chrome, Safari, Firefox, mobile Safari</t>
        </is>
      </c>
      <c r="F84" s="2" t="inlineStr">
        <is>
          <t>Consistent behavior</t>
        </is>
      </c>
      <c r="G84" s="2" t="inlineStr">
        <is>
          <t>Manual</t>
        </is>
      </c>
      <c r="H84" s="3" t="inlineStr">
        <is>
          <t>Yes</t>
        </is>
      </c>
      <c r="I84" s="4" t="inlineStr"/>
      <c r="J84" s="4" t="inlineStr"/>
      <c r="K84" s="4" t="inlineStr"/>
      <c r="L84" s="5" t="inlineStr"/>
    </row>
  </sheetData>
  <autoFilter ref="A1:L84"/>
  <dataValidations count="1">
    <dataValidation sqref="I2:I84" showDropDown="0" showInputMessage="0" showErrorMessage="0" allowBlank="1" type="list">
      <formula1>"Pass,Fail,Blocked,Skipped"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6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8" t="inlineStr">
        <is>
          <t>Beta readiness - QA coverage</t>
        </is>
      </c>
    </row>
    <row r="3">
      <c r="A3" s="9" t="inlineStr">
        <is>
          <t>Coverage is derived from the Cypress specs. Counts are live formulas - they update as you record results.</t>
        </is>
      </c>
    </row>
    <row r="5">
      <c r="A5" s="10" t="inlineStr">
        <is>
          <t>Priority</t>
        </is>
      </c>
      <c r="B5" s="10" t="inlineStr">
        <is>
          <t>Total</t>
        </is>
      </c>
      <c r="C5" s="10" t="inlineStr">
        <is>
          <t>Automated</t>
        </is>
      </c>
      <c r="D5" s="10" t="inlineStr">
        <is>
          <t>Manual to run</t>
        </is>
      </c>
      <c r="E5" s="10" t="inlineStr">
        <is>
          <t>Pass</t>
        </is>
      </c>
      <c r="F5" s="10" t="inlineStr">
        <is>
          <t>Fail</t>
        </is>
      </c>
      <c r="G5" s="10" t="inlineStr">
        <is>
          <t>Blocked</t>
        </is>
      </c>
      <c r="H5" s="10" t="inlineStr">
        <is>
          <t>Not yet run</t>
        </is>
      </c>
    </row>
    <row r="6">
      <c r="A6" s="11" t="inlineStr">
        <is>
          <t>P0</t>
        </is>
      </c>
      <c r="B6" s="11">
        <f>COUNTIF('Test Cases'!$C$2:$C$84,A6)</f>
        <v/>
      </c>
      <c r="C6" s="11">
        <f>COUNTIFS('Test Cases'!$C$2:$C$84,A6,'Test Cases'!$G$2:$G$84,"Automated*")</f>
        <v/>
      </c>
      <c r="D6" s="11">
        <f>B6-C6</f>
        <v/>
      </c>
      <c r="E6" s="11">
        <f>COUNTIFS('Test Cases'!$C$2:$C$84,A6,'Test Cases'!$I$2:$I$84,"Pass")</f>
        <v/>
      </c>
      <c r="F6" s="11">
        <f>COUNTIFS('Test Cases'!$C$2:$C$84,A6,'Test Cases'!$I$2:$I$84,"Fail")</f>
        <v/>
      </c>
      <c r="G6" s="11">
        <f>COUNTIFS('Test Cases'!$C$2:$C$84,A6,'Test Cases'!$I$2:$I$84,"Blocked")</f>
        <v/>
      </c>
      <c r="H6" s="11">
        <f>D6-E6-F6-G6</f>
        <v/>
      </c>
    </row>
    <row r="7">
      <c r="A7" s="11" t="inlineStr">
        <is>
          <t>P1</t>
        </is>
      </c>
      <c r="B7" s="11">
        <f>COUNTIF('Test Cases'!$C$2:$C$84,A7)</f>
        <v/>
      </c>
      <c r="C7" s="11">
        <f>COUNTIFS('Test Cases'!$C$2:$C$84,A7,'Test Cases'!$G$2:$G$84,"Automated*")</f>
        <v/>
      </c>
      <c r="D7" s="11">
        <f>B7-C7</f>
        <v/>
      </c>
      <c r="E7" s="11">
        <f>COUNTIFS('Test Cases'!$C$2:$C$84,A7,'Test Cases'!$I$2:$I$84,"Pass")</f>
        <v/>
      </c>
      <c r="F7" s="11">
        <f>COUNTIFS('Test Cases'!$C$2:$C$84,A7,'Test Cases'!$I$2:$I$84,"Fail")</f>
        <v/>
      </c>
      <c r="G7" s="11">
        <f>COUNTIFS('Test Cases'!$C$2:$C$84,A7,'Test Cases'!$I$2:$I$84,"Blocked")</f>
        <v/>
      </c>
      <c r="H7" s="11">
        <f>D7-E7-F7-G7</f>
        <v/>
      </c>
    </row>
    <row r="8">
      <c r="A8" s="11" t="inlineStr">
        <is>
          <t>P2</t>
        </is>
      </c>
      <c r="B8" s="11">
        <f>COUNTIF('Test Cases'!$C$2:$C$84,A8)</f>
        <v/>
      </c>
      <c r="C8" s="11">
        <f>COUNTIFS('Test Cases'!$C$2:$C$84,A8,'Test Cases'!$G$2:$G$84,"Automated*")</f>
        <v/>
      </c>
      <c r="D8" s="11">
        <f>B8-C8</f>
        <v/>
      </c>
      <c r="E8" s="11">
        <f>COUNTIFS('Test Cases'!$C$2:$C$84,A8,'Test Cases'!$I$2:$I$84,"Pass")</f>
        <v/>
      </c>
      <c r="F8" s="11">
        <f>COUNTIFS('Test Cases'!$C$2:$C$84,A8,'Test Cases'!$I$2:$I$84,"Fail")</f>
        <v/>
      </c>
      <c r="G8" s="11">
        <f>COUNTIFS('Test Cases'!$C$2:$C$84,A8,'Test Cases'!$I$2:$I$84,"Blocked")</f>
        <v/>
      </c>
      <c r="H8" s="11">
        <f>D8-E8-F8-G8</f>
        <v/>
      </c>
    </row>
    <row r="9">
      <c r="A9" s="12" t="inlineStr">
        <is>
          <t>TOTAL</t>
        </is>
      </c>
      <c r="B9" s="12">
        <f>SUM(B6:B8)</f>
        <v/>
      </c>
      <c r="C9" s="12">
        <f>SUM(C6:C8)</f>
        <v/>
      </c>
      <c r="D9" s="12">
        <f>SUM(D6:D8)</f>
        <v/>
      </c>
      <c r="E9" s="12">
        <f>SUM(E6:E8)</f>
        <v/>
      </c>
      <c r="F9" s="12">
        <f>SUM(F6:F8)</f>
        <v/>
      </c>
      <c r="G9" s="12">
        <f>SUM(G6:G8)</f>
        <v/>
      </c>
      <c r="H9" s="12">
        <f>SUM(H6:H8)</f>
        <v/>
      </c>
    </row>
    <row r="11">
      <c r="A11" s="13" t="inlineStr">
        <is>
          <t>Beta gate (P0)</t>
        </is>
      </c>
    </row>
    <row r="12">
      <c r="A12" s="14" t="inlineStr">
        <is>
          <t>P0 still to run manually</t>
        </is>
      </c>
      <c r="B12" s="12">
        <f>H6</f>
        <v/>
      </c>
    </row>
    <row r="13">
      <c r="A13" s="14" t="inlineStr">
        <is>
          <t>P0 failures outstanding</t>
        </is>
      </c>
      <c r="B13" s="12">
        <f>F6</f>
        <v/>
      </c>
    </row>
    <row r="14">
      <c r="A14" s="14" t="inlineStr">
        <is>
          <t>Ready to invite testers?</t>
        </is>
      </c>
      <c r="B14" s="15">
        <f>IF(AND(B12=0,B13=0),"YES - P0 clear","NOT YET")</f>
        <v/>
      </c>
    </row>
    <row r="16">
      <c r="A16" s="9" t="inlineStr">
        <is>
          <t>All automated specs are confirmed executing (not skipping) - verified green on sandbox 2026-08-21 (run 32455675720).</t>
        </is>
      </c>
    </row>
    <row r="17">
      <c r="A17" s="9" t="inlineStr">
        <is>
          <t>For the routine pre-release pass use docs/PRE_RELEASE_CHECKLIST.md (~10 min).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4" customWidth="1" min="1" max="1"/>
    <col width="92" customWidth="1" min="2" max="2"/>
  </cols>
  <sheetData>
    <row r="1">
      <c r="A1" s="8" t="inlineStr">
        <is>
          <t>How to use this tracker</t>
        </is>
      </c>
    </row>
    <row r="3">
      <c r="A3" s="14" t="inlineStr"/>
      <c r="B3" s="16" t="inlineStr"/>
    </row>
    <row r="4">
      <c r="A4" s="17" t="inlineStr">
        <is>
          <t>You fill in (yellow cells only):</t>
        </is>
      </c>
      <c r="B4" s="16" t="inlineStr"/>
    </row>
    <row r="5">
      <c r="A5" s="14" t="inlineStr">
        <is>
          <t>Result</t>
        </is>
      </c>
      <c r="B5" s="16" t="inlineStr">
        <is>
          <t>Pick Pass / Fail / Blocked / Skipped from the dropdown.</t>
        </is>
      </c>
    </row>
    <row r="6">
      <c r="A6" s="14" t="inlineStr">
        <is>
          <t>Date</t>
        </is>
      </c>
      <c r="B6" s="16" t="inlineStr">
        <is>
          <t>When you ran it.</t>
        </is>
      </c>
    </row>
    <row r="7">
      <c r="A7" s="14" t="inlineStr">
        <is>
          <t>Tester</t>
        </is>
      </c>
      <c r="B7" s="16" t="inlineStr">
        <is>
          <t>Who ran it.</t>
        </is>
      </c>
    </row>
    <row r="8">
      <c r="A8" s="14" t="inlineStr">
        <is>
          <t>Notes / Bug #</t>
        </is>
      </c>
      <c r="B8" s="16" t="inlineStr">
        <is>
          <t>What broke, or a link to the bug.</t>
        </is>
      </c>
    </row>
    <row r="9">
      <c r="A9" s="14" t="inlineStr"/>
      <c r="B9" s="16" t="inlineStr"/>
    </row>
    <row r="10">
      <c r="A10" s="17" t="inlineStr">
        <is>
          <t>Colour key:</t>
        </is>
      </c>
      <c r="B10" s="16" t="inlineStr"/>
    </row>
    <row r="11">
      <c r="A11" s="18" t="inlineStr">
        <is>
          <t>Teal</t>
        </is>
      </c>
      <c r="B11" s="16" t="inlineStr">
        <is>
          <t>Automated - runs in CI on every push. Do NOT re-click these by hand.</t>
        </is>
      </c>
    </row>
    <row r="12">
      <c r="A12" s="19" t="inlineStr">
        <is>
          <t>Yellow</t>
        </is>
      </c>
      <c r="B12" s="16" t="inlineStr">
        <is>
          <t>A cell for you to fill in.</t>
        </is>
      </c>
    </row>
    <row r="13">
      <c r="A13" s="14" t="inlineStr"/>
      <c r="B13" s="16" t="inlineStr"/>
    </row>
    <row r="14">
      <c r="A14" s="17" t="inlineStr">
        <is>
          <t>On the credential-dependent specs:</t>
        </is>
      </c>
      <c r="B14" s="16" t="inlineStr"/>
    </row>
    <row r="15">
      <c r="A15" s="14" t="inlineStr">
        <is>
          <t>TC-X-01</t>
        </is>
      </c>
      <c r="B15" s="16" t="inlineStr">
        <is>
          <t>Multi-tenant isolation. Needs E2E_EMAIL_2 / E2E_PASSWORD_2 - configured, and verified green on sandbox 2026-08-21 (run 32455675720).</t>
        </is>
      </c>
    </row>
    <row r="16">
      <c r="A16" s="14" t="inlineStr">
        <is>
          <t>TC-WORK-01/02/04</t>
        </is>
      </c>
      <c r="B16" s="16" t="inlineStr">
        <is>
          <t>Worker app. Needs E2E_WORKER_EMAIL / E2E_WORKER_PASSWORD - configured, and verified green on sandbox 2026-08-21 (run 32455675720).</t>
        </is>
      </c>
    </row>
    <row r="17">
      <c r="A17" s="14" t="inlineStr"/>
      <c r="B17" s="16" t="inlineStr"/>
    </row>
    <row r="18">
      <c r="A18" s="17" t="inlineStr">
        <is>
          <t>Where to test:</t>
        </is>
      </c>
      <c r="B18" s="16" t="inlineStr"/>
    </row>
    <row r="19">
      <c r="A19" s="14" t="inlineStr">
        <is>
          <t>Sandbox</t>
        </is>
      </c>
      <c r="B19" s="16" t="inlineStr">
        <is>
          <t>https://sandbox--lively-yeot-c640cd.netlify.app - run the whole matrix here, never production.</t>
        </is>
      </c>
    </row>
    <row r="20">
      <c r="A20" s="14" t="inlineStr"/>
      <c r="B20" s="16" t="inlineStr"/>
    </row>
    <row r="21">
      <c r="A21" s="17" t="inlineStr">
        <is>
          <t>Stripe test cards:</t>
        </is>
      </c>
      <c r="B21" s="16" t="inlineStr"/>
    </row>
    <row r="22">
      <c r="A22" s="14" t="inlineStr">
        <is>
          <t>Success</t>
        </is>
      </c>
      <c r="B22" s="16" t="inlineStr">
        <is>
          <t>4242 4242 4242 4242</t>
        </is>
      </c>
    </row>
    <row r="23">
      <c r="A23" s="14" t="inlineStr">
        <is>
          <t>Decline</t>
        </is>
      </c>
      <c r="B23" s="16" t="inlineStr">
        <is>
          <t>4000 0000 0000 0002</t>
        </is>
      </c>
    </row>
    <row r="24">
      <c r="A24" s="14" t="inlineStr">
        <is>
          <t>3D Secure</t>
        </is>
      </c>
      <c r="B24" s="16" t="inlineStr">
        <is>
          <t>4000 0025 0000 3155</t>
        </is>
      </c>
    </row>
    <row r="25">
      <c r="A25" s="14" t="inlineStr"/>
      <c r="B25" s="16" t="inlineStr"/>
    </row>
    <row r="26">
      <c r="A26" s="17" t="inlineStr">
        <is>
          <t>Example row (format only - not a real result):</t>
        </is>
      </c>
      <c r="B26" s="16" t="inlineStr"/>
    </row>
    <row r="27">
      <c r="A27" s="14" t="inlineStr">
        <is>
          <t>TC-AUTH-01</t>
        </is>
      </c>
      <c r="B27" s="16" t="inlineStr">
        <is>
          <t>Pass  |  2026-08-21  |  MV  |  Confirmation email arrived in ~30s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2026-08-21T15:23:42Z</dcterms:created>
  <dcterms:modified xsi:type="dcterms:W3CDTF">2026-08-21T15:23:42Z</dcterms:modified>
</cp:coreProperties>
</file>